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ystem Dashboard" sheetId="2" state="visible" r:id="rId4"/>
    <sheet name="Component 1" sheetId="3" state="visible" r:id="rId5"/>
    <sheet name="Component 2" sheetId="4" state="visible" r:id="rId6"/>
    <sheet name="Component 3" sheetId="5" state="visible" r:id="rId7"/>
    <sheet name="Component 4" sheetId="6" state="visible" r:id="rId8"/>
    <sheet name="Component 5" sheetId="7" state="visible" r:id="rId9"/>
    <sheet name="Reference - Anchors" sheetId="8" state="visible" r:id="rId10"/>
    <sheet name="Lists" sheetId="9" state="hidden" r:id="rId11"/>
  </sheets>
  <definedNames>
    <definedName function="false" hidden="false" name="DepClassList" vbProcedure="false">Lists!$C$2:$C$4</definedName>
    <definedName function="false" hidden="false" name="EvidenceList" vbProcedure="false">Lists!$B$2:$B$4</definedName>
    <definedName function="false" hidden="false" name="ModeList" vbProcedure="false">Lists!$E$2:$E$3</definedName>
    <definedName function="false" hidden="false" name="ScoreList" vbProcedure="false">Lists!$A$2:$A$7</definedName>
    <definedName function="false" hidden="false" name="TrajectoryList" vbProcedure="false">Lists!$D$2:$D$6</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16" authorId="0">
      <text>
        <r>
          <rPr>
            <sz val="10"/>
            <rFont val="Arial"/>
            <family val="2"/>
          </rPr>
          <t xml:space="preserve">The component running, or having run, on a second distinct environment; or an architecture record identifying host dependencies and showing they are abstracted. Absence: no second environment can be named and no design record addresses portability — floor.</t>
        </r>
      </text>
    </comment>
    <comment ref="B17" authorId="0">
      <text>
        <r>
          <rPr>
            <sz val="10"/>
            <rFont val="Arial"/>
            <family val="2"/>
          </rPr>
          <t xml:space="preserve">A current dependency/version inventory cross-referable to vendor or community support lifecycle dates.</t>
        </r>
      </text>
    </comment>
    <comment ref="B18" authorId="0">
      <text>
        <r>
          <rPr>
            <sz val="10"/>
            <rFont val="Arial"/>
            <family val="2"/>
          </rPr>
          <t xml:space="preserve">An architecture record or dependency map showing external service calls and their substitutability, or evidence those interfaces are abstracted.</t>
        </r>
      </text>
    </comment>
    <comment ref="B19" authorId="0">
      <text>
        <r>
          <rPr>
            <sz val="10"/>
            <rFont val="Arial"/>
            <family val="2"/>
          </rPr>
          <t xml:space="preserve">Version-controlled infrastructure/config definitions, ideally with a record of the environment having been rebuilt from them.</t>
        </r>
      </text>
    </comment>
    <comment ref="B20" authorId="0">
      <text>
        <r>
          <rPr>
            <sz val="10"/>
            <rFont val="Arial"/>
            <family val="2"/>
          </rPr>
          <t xml:space="preserve">Documented data formats and schema, plus a record of a successful standard-tool extract/migration or a defensible assessment that one is possible.</t>
        </r>
      </text>
    </comment>
    <comment ref="B22" authorId="0">
      <text>
        <r>
          <rPr>
            <sz val="10"/>
            <rFont val="Arial"/>
            <family val="2"/>
          </rPr>
          <t xml:space="preserve">A design or service record stating what the component does and does not own, recognisable in the actual code structure.</t>
        </r>
      </text>
    </comment>
    <comment ref="B23" authorId="0">
      <text>
        <r>
          <rPr>
            <sz val="10"/>
            <rFont val="Arial"/>
            <family val="2"/>
          </rPr>
          <t xml:space="preserve">A build/release record showing it has been released on its own, separate from other components. Absence: every release on record is part of a coordinated multi-component effort — floor.</t>
        </r>
      </text>
    </comment>
    <comment ref="B24" authorId="0">
      <text>
        <r>
          <rPr>
            <sz val="10"/>
            <rFont val="Arial"/>
            <family val="2"/>
          </rPr>
          <t xml:space="preserve">Internal structure visible in the codebase, plus change history showing past changes stayed localised.</t>
        </r>
      </text>
    </comment>
    <comment ref="B25" authorId="0">
      <text>
        <r>
          <rPr>
            <sz val="10"/>
            <rFont val="Arial"/>
            <family val="2"/>
          </rPr>
          <t xml:space="preserve">A data/interaction map showing what state is shared and how access is mediated; or demonstrable absence of components reaching into each other's internals.</t>
        </r>
      </text>
    </comment>
    <comment ref="B26" authorId="0">
      <text>
        <r>
          <rPr>
            <sz val="10"/>
            <rFont val="Arial"/>
            <family val="2"/>
          </rPr>
          <t xml:space="preserve">Defined internal interfaces, ideally with a record of a part having been swapped without rebuilding the boundary.</t>
        </r>
      </text>
    </comment>
    <comment ref="B28" authorId="0">
      <text>
        <r>
          <rPr>
            <sz val="10"/>
            <rFont val="Arial"/>
            <family val="2"/>
          </rPr>
          <t xml:space="preserve">Interface definitions or contracts that exist as inspectable artefacts, not descriptions of behaviour after the fact.</t>
        </r>
      </text>
    </comment>
    <comment ref="B29" authorId="0">
      <text>
        <r>
          <rPr>
            <sz val="10"/>
            <rFont val="Arial"/>
            <family val="2"/>
          </rPr>
          <t xml:space="preserve">A versioning scheme visible in the interface artefacts, plus history of a version change managed without breaking counterparts.</t>
        </r>
      </text>
    </comment>
    <comment ref="B30" authorId="0">
      <text>
        <r>
          <rPr>
            <sz val="10"/>
            <rFont val="Arial"/>
            <family val="2"/>
          </rPr>
          <t xml:space="preserve">Integration endpoints held in external configuration, ideally with a record of one having been re-pointed without a code change. Absence: endpoints are wired into the component and any change requires modifying it — floor.</t>
        </r>
      </text>
    </comment>
    <comment ref="B31" authorId="0">
      <text>
        <r>
          <rPr>
            <sz val="10"/>
            <rFont val="Arial"/>
            <family val="2"/>
          </rPr>
          <t xml:space="preserve">Integration design showing explicit sequencing/handling; or demonstrable absence of incident history caused by timing or ordering.</t>
        </r>
      </text>
    </comment>
    <comment ref="B32" authorId="0">
      <text>
        <r>
          <rPr>
            <sz val="10"/>
            <rFont val="Arial"/>
            <family val="2"/>
          </rPr>
          <t xml:space="preserve">Stubs, mocks, simulators, or a contract-test suite that exists and is exercisable without the live counterpart.</t>
        </r>
      </text>
    </comment>
    <comment ref="B34" authorId="0">
      <text>
        <r>
          <rPr>
            <sz val="10"/>
            <rFont val="Arial"/>
            <family val="2"/>
          </rPr>
          <t xml:space="preserve">Language/framework version cross-referable to a current support lifecycle, plus a defensible view of the skills market. Absence: version unidentified or out of support and skills position unknown — floor.</t>
        </r>
      </text>
    </comment>
    <comment ref="B35" authorId="0">
      <text>
        <r>
          <rPr>
            <sz val="10"/>
            <rFont val="Arial"/>
            <family val="2"/>
          </rPr>
          <t xml:space="preserve">Change lead-time and change-failure history; or a code-quality assessment. Team assertion that change is 'fine' is not evidence — the change record is.</t>
        </r>
      </text>
    </comment>
    <comment ref="B36" authorId="0">
      <text>
        <r>
          <rPr>
            <sz val="10"/>
            <rFont val="Arial"/>
            <family val="2"/>
          </rPr>
          <t xml:space="preserve">A working build that demonstrably pulls current dependencies; or a recent successful dependency/patch update on record.</t>
        </r>
      </text>
    </comment>
    <comment ref="B37" authorId="0">
      <text>
        <r>
          <rPr>
            <sz val="10"/>
            <rFont val="Arial"/>
            <family val="2"/>
          </rPr>
          <t xml:space="preserve">A code analysis identifying dead/unreachable code; or a clean assessment. A claim of cleanliness with no analysis behind it is not evidence.</t>
        </r>
      </text>
    </comment>
    <comment ref="B38" authorId="0">
      <text>
        <r>
          <rPr>
            <sz val="10"/>
            <rFont val="Arial"/>
            <family val="2"/>
          </rPr>
          <t xml:space="preserve">Behavioural specifications or documentation sufficient to restate what a section does independently of reading the code.</t>
        </r>
      </text>
    </comment>
    <comment ref="B40" authorId="0">
      <text>
        <r>
          <rPr>
            <sz val="10"/>
            <rFont val="Arial"/>
            <family val="2"/>
          </rPr>
          <t xml:space="preserve">Documentation that demonstrably matches current behaviour — ideally validated by someone using it to predict or explain an output correctly. Absence: logic exists only as code, or documentation cannot be shown to be current — floor.</t>
        </r>
      </text>
    </comment>
    <comment ref="B41" authorId="0">
      <text>
        <r>
          <rPr>
            <sz val="10"/>
            <rFont val="Arial"/>
            <family val="2"/>
          </rPr>
          <t xml:space="preserve">An assessor or engineer can point to where the bespoke logic lives, distinct from general-purpose code.</t>
        </r>
      </text>
    </comment>
    <comment ref="B42" authorId="0">
      <text>
        <r>
          <rPr>
            <sz val="10"/>
            <rFont val="Arial"/>
            <family val="2"/>
          </rPr>
          <t xml:space="preserve">A specification exists as an artefact independent of the code, complete enough that re-implementation would not require reading the code.</t>
        </r>
      </text>
    </comment>
    <comment ref="B43" authorId="0">
      <text>
        <r>
          <rPr>
            <sz val="10"/>
            <rFont val="Arial"/>
            <family val="2"/>
          </rPr>
          <t xml:space="preserve">Edge cases and their rationale are recorded; or demonstrable confidence — via people or records — that the rationale behind existing edge-case handling is recoverable.</t>
        </r>
      </text>
    </comment>
    <comment ref="B44" authorId="0">
      <text>
        <r>
          <rPr>
            <sz val="10"/>
            <rFont val="Arial"/>
            <family val="2"/>
          </rPr>
          <t xml:space="preserve">A reference specification or test set exists that would let a re-implementation be validated as behaviourally correct.</t>
        </r>
      </text>
    </comment>
    <comment ref="B46" authorId="0">
      <text>
        <r>
          <rPr>
            <sz val="10"/>
            <rFont val="Arial"/>
            <family val="2"/>
          </rPr>
          <t xml:space="preserve">More than one person has independently made a non-trivial change; or the component has demonstrably survived a relevant departure. Absence: all evidence points to a single individual — floor.</t>
        </r>
      </text>
    </comment>
    <comment ref="B47" authorId="0">
      <text>
        <r>
          <rPr>
            <sz val="10"/>
            <rFont val="Arial"/>
            <family val="2"/>
          </rPr>
          <t xml:space="preserve">A documented instance of someone onboarding from the documentation; or documentation an assessor judges sufficient against that test. Existence of documentation is not the same as it being sufficient.</t>
        </r>
      </text>
    </comment>
    <comment ref="B48" authorId="0">
      <text>
        <r>
          <rPr>
            <sz val="10"/>
            <rFont val="Arial"/>
            <family val="2"/>
          </rPr>
          <t xml:space="preserve">Decision records, architecture rationale, or equivalent capturing the 'why', not only the current state.</t>
        </r>
      </text>
    </comment>
    <comment ref="B49" authorId="0">
      <text>
        <r>
          <rPr>
            <sz val="10"/>
            <rFont val="Arial"/>
            <family val="2"/>
          </rPr>
          <t xml:space="preserve">A demonstrable count of eligible (cleared/qualified) individuals who hold working knowledge. Score N/A only where no clearance or eligibility constraint genuinely applies — and that exemption must itself be justified.</t>
        </r>
      </text>
    </comment>
    <comment ref="B50" authorId="0">
      <text>
        <r>
          <rPr>
            <sz val="10"/>
            <rFont val="Arial"/>
            <family val="2"/>
          </rPr>
          <t xml:space="preserve">Operational runbooks plus demonstration they work — e.g. a recovery actually performed from them, or troubleshooting carried out by someone other than the original operator.</t>
        </r>
      </text>
    </comment>
    <comment ref="B52" authorId="0">
      <text>
        <r>
          <rPr>
            <sz val="10"/>
            <rFont val="Arial"/>
            <family val="2"/>
          </rPr>
          <t xml:space="preserve">Live monitoring, logging, or telemetry output that an assessor can actually view. Absence: the component emits nothing inspectable — floor.</t>
        </r>
      </text>
    </comment>
    <comment ref="B53" authorId="0">
      <text>
        <r>
          <rPr>
            <sz val="10"/>
            <rFont val="Arial"/>
            <family val="2"/>
          </rPr>
          <t xml:space="preserve">A test suite plus coverage data and a history of it actually catching regressions before release.</t>
        </r>
      </text>
    </comment>
    <comment ref="B54" authorId="0">
      <text>
        <r>
          <rPr>
            <sz val="10"/>
            <rFont val="Arial"/>
            <family val="2"/>
          </rPr>
          <t xml:space="preserve">Deployment and rollback logs showing both happening repeatedly without incident. A runbook describing the process is not evidence it is routine.</t>
        </r>
      </text>
    </comment>
    <comment ref="B55" authorId="0">
      <text>
        <r>
          <rPr>
            <sz val="10"/>
            <rFont val="Arial"/>
            <family val="2"/>
          </rPr>
          <t xml:space="preserve">A test/staging environment that exists, plus evidence of how closely it matches production and of changes having been validated there.</t>
        </r>
      </text>
    </comment>
    <comment ref="B56" authorId="0">
      <text>
        <r>
          <rPr>
            <sz val="10"/>
            <rFont val="Arial"/>
            <family val="2"/>
          </rPr>
          <t xml:space="preserve">The actual elapsed time and cost of recent changes through the assurance process — the demonstrated fact that change still happens. Absence: no change has completed assurance recently enough to judge, or the process cannot be timed — floor, flagged.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16" authorId="0">
      <text>
        <r>
          <rPr>
            <sz val="10"/>
            <rFont val="Arial"/>
            <family val="2"/>
          </rPr>
          <t xml:space="preserve">The component running, or having run, on a second distinct environment; or an architecture record identifying host dependencies and showing they are abstracted. Absence: no second environment can be named and no design record addresses portability — floor.</t>
        </r>
      </text>
    </comment>
    <comment ref="B17" authorId="0">
      <text>
        <r>
          <rPr>
            <sz val="10"/>
            <rFont val="Arial"/>
            <family val="2"/>
          </rPr>
          <t xml:space="preserve">A current dependency/version inventory cross-referable to vendor or community support lifecycle dates.</t>
        </r>
      </text>
    </comment>
    <comment ref="B18" authorId="0">
      <text>
        <r>
          <rPr>
            <sz val="10"/>
            <rFont val="Arial"/>
            <family val="2"/>
          </rPr>
          <t xml:space="preserve">An architecture record or dependency map showing external service calls and their substitutability, or evidence those interfaces are abstracted.</t>
        </r>
      </text>
    </comment>
    <comment ref="B19" authorId="0">
      <text>
        <r>
          <rPr>
            <sz val="10"/>
            <rFont val="Arial"/>
            <family val="2"/>
          </rPr>
          <t xml:space="preserve">Version-controlled infrastructure/config definitions, ideally with a record of the environment having been rebuilt from them.</t>
        </r>
      </text>
    </comment>
    <comment ref="B20" authorId="0">
      <text>
        <r>
          <rPr>
            <sz val="10"/>
            <rFont val="Arial"/>
            <family val="2"/>
          </rPr>
          <t xml:space="preserve">Documented data formats and schema, plus a record of a successful standard-tool extract/migration or a defensible assessment that one is possible.</t>
        </r>
      </text>
    </comment>
    <comment ref="B22" authorId="0">
      <text>
        <r>
          <rPr>
            <sz val="10"/>
            <rFont val="Arial"/>
            <family val="2"/>
          </rPr>
          <t xml:space="preserve">A design or service record stating what the component does and does not own, recognisable in the actual code structure.</t>
        </r>
      </text>
    </comment>
    <comment ref="B23" authorId="0">
      <text>
        <r>
          <rPr>
            <sz val="10"/>
            <rFont val="Arial"/>
            <family val="2"/>
          </rPr>
          <t xml:space="preserve">A build/release record showing it has been released on its own, separate from other components. Absence: every release on record is part of a coordinated multi-component effort — floor.</t>
        </r>
      </text>
    </comment>
    <comment ref="B24" authorId="0">
      <text>
        <r>
          <rPr>
            <sz val="10"/>
            <rFont val="Arial"/>
            <family val="2"/>
          </rPr>
          <t xml:space="preserve">Internal structure visible in the codebase, plus change history showing past changes stayed localised.</t>
        </r>
      </text>
    </comment>
    <comment ref="B25" authorId="0">
      <text>
        <r>
          <rPr>
            <sz val="10"/>
            <rFont val="Arial"/>
            <family val="2"/>
          </rPr>
          <t xml:space="preserve">A data/interaction map showing what state is shared and how access is mediated; or demonstrable absence of components reaching into each other's internals.</t>
        </r>
      </text>
    </comment>
    <comment ref="B26" authorId="0">
      <text>
        <r>
          <rPr>
            <sz val="10"/>
            <rFont val="Arial"/>
            <family val="2"/>
          </rPr>
          <t xml:space="preserve">Defined internal interfaces, ideally with a record of a part having been swapped without rebuilding the boundary.</t>
        </r>
      </text>
    </comment>
    <comment ref="B28" authorId="0">
      <text>
        <r>
          <rPr>
            <sz val="10"/>
            <rFont val="Arial"/>
            <family val="2"/>
          </rPr>
          <t xml:space="preserve">Interface definitions or contracts that exist as inspectable artefacts, not descriptions of behaviour after the fact.</t>
        </r>
      </text>
    </comment>
    <comment ref="B29" authorId="0">
      <text>
        <r>
          <rPr>
            <sz val="10"/>
            <rFont val="Arial"/>
            <family val="2"/>
          </rPr>
          <t xml:space="preserve">A versioning scheme visible in the interface artefacts, plus history of a version change managed without breaking counterparts.</t>
        </r>
      </text>
    </comment>
    <comment ref="B30" authorId="0">
      <text>
        <r>
          <rPr>
            <sz val="10"/>
            <rFont val="Arial"/>
            <family val="2"/>
          </rPr>
          <t xml:space="preserve">Integration endpoints held in external configuration, ideally with a record of one having been re-pointed without a code change. Absence: endpoints are wired into the component and any change requires modifying it — floor.</t>
        </r>
      </text>
    </comment>
    <comment ref="B31" authorId="0">
      <text>
        <r>
          <rPr>
            <sz val="10"/>
            <rFont val="Arial"/>
            <family val="2"/>
          </rPr>
          <t xml:space="preserve">Integration design showing explicit sequencing/handling; or demonstrable absence of incident history caused by timing or ordering.</t>
        </r>
      </text>
    </comment>
    <comment ref="B32" authorId="0">
      <text>
        <r>
          <rPr>
            <sz val="10"/>
            <rFont val="Arial"/>
            <family val="2"/>
          </rPr>
          <t xml:space="preserve">Stubs, mocks, simulators, or a contract-test suite that exists and is exercisable without the live counterpart.</t>
        </r>
      </text>
    </comment>
    <comment ref="B34" authorId="0">
      <text>
        <r>
          <rPr>
            <sz val="10"/>
            <rFont val="Arial"/>
            <family val="2"/>
          </rPr>
          <t xml:space="preserve">Language/framework version cross-referable to a current support lifecycle, plus a defensible view of the skills market. Absence: version unidentified or out of support and skills position unknown — floor.</t>
        </r>
      </text>
    </comment>
    <comment ref="B35" authorId="0">
      <text>
        <r>
          <rPr>
            <sz val="10"/>
            <rFont val="Arial"/>
            <family val="2"/>
          </rPr>
          <t xml:space="preserve">Change lead-time and change-failure history; or a code-quality assessment. Team assertion that change is 'fine' is not evidence — the change record is.</t>
        </r>
      </text>
    </comment>
    <comment ref="B36" authorId="0">
      <text>
        <r>
          <rPr>
            <sz val="10"/>
            <rFont val="Arial"/>
            <family val="2"/>
          </rPr>
          <t xml:space="preserve">A working build that demonstrably pulls current dependencies; or a recent successful dependency/patch update on record.</t>
        </r>
      </text>
    </comment>
    <comment ref="B37" authorId="0">
      <text>
        <r>
          <rPr>
            <sz val="10"/>
            <rFont val="Arial"/>
            <family val="2"/>
          </rPr>
          <t xml:space="preserve">A code analysis identifying dead/unreachable code; or a clean assessment. A claim of cleanliness with no analysis behind it is not evidence.</t>
        </r>
      </text>
    </comment>
    <comment ref="B38" authorId="0">
      <text>
        <r>
          <rPr>
            <sz val="10"/>
            <rFont val="Arial"/>
            <family val="2"/>
          </rPr>
          <t xml:space="preserve">Behavioural specifications or documentation sufficient to restate what a section does independently of reading the code.</t>
        </r>
      </text>
    </comment>
    <comment ref="B40" authorId="0">
      <text>
        <r>
          <rPr>
            <sz val="10"/>
            <rFont val="Arial"/>
            <family val="2"/>
          </rPr>
          <t xml:space="preserve">Documentation that demonstrably matches current behaviour — ideally validated by someone using it to predict or explain an output correctly. Absence: logic exists only as code, or documentation cannot be shown to be current — floor.</t>
        </r>
      </text>
    </comment>
    <comment ref="B41" authorId="0">
      <text>
        <r>
          <rPr>
            <sz val="10"/>
            <rFont val="Arial"/>
            <family val="2"/>
          </rPr>
          <t xml:space="preserve">An assessor or engineer can point to where the bespoke logic lives, distinct from general-purpose code.</t>
        </r>
      </text>
    </comment>
    <comment ref="B42" authorId="0">
      <text>
        <r>
          <rPr>
            <sz val="10"/>
            <rFont val="Arial"/>
            <family val="2"/>
          </rPr>
          <t xml:space="preserve">A specification exists as an artefact independent of the code, complete enough that re-implementation would not require reading the code.</t>
        </r>
      </text>
    </comment>
    <comment ref="B43" authorId="0">
      <text>
        <r>
          <rPr>
            <sz val="10"/>
            <rFont val="Arial"/>
            <family val="2"/>
          </rPr>
          <t xml:space="preserve">Edge cases and their rationale are recorded; or demonstrable confidence — via people or records — that the rationale behind existing edge-case handling is recoverable.</t>
        </r>
      </text>
    </comment>
    <comment ref="B44" authorId="0">
      <text>
        <r>
          <rPr>
            <sz val="10"/>
            <rFont val="Arial"/>
            <family val="2"/>
          </rPr>
          <t xml:space="preserve">A reference specification or test set exists that would let a re-implementation be validated as behaviourally correct.</t>
        </r>
      </text>
    </comment>
    <comment ref="B46" authorId="0">
      <text>
        <r>
          <rPr>
            <sz val="10"/>
            <rFont val="Arial"/>
            <family val="2"/>
          </rPr>
          <t xml:space="preserve">More than one person has independently made a non-trivial change; or the component has demonstrably survived a relevant departure. Absence: all evidence points to a single individual — floor.</t>
        </r>
      </text>
    </comment>
    <comment ref="B47" authorId="0">
      <text>
        <r>
          <rPr>
            <sz val="10"/>
            <rFont val="Arial"/>
            <family val="2"/>
          </rPr>
          <t xml:space="preserve">A documented instance of someone onboarding from the documentation; or documentation an assessor judges sufficient against that test. Existence of documentation is not the same as it being sufficient.</t>
        </r>
      </text>
    </comment>
    <comment ref="B48" authorId="0">
      <text>
        <r>
          <rPr>
            <sz val="10"/>
            <rFont val="Arial"/>
            <family val="2"/>
          </rPr>
          <t xml:space="preserve">Decision records, architecture rationale, or equivalent capturing the 'why', not only the current state.</t>
        </r>
      </text>
    </comment>
    <comment ref="B49" authorId="0">
      <text>
        <r>
          <rPr>
            <sz val="10"/>
            <rFont val="Arial"/>
            <family val="2"/>
          </rPr>
          <t xml:space="preserve">A demonstrable count of eligible (cleared/qualified) individuals who hold working knowledge. Score N/A only where no clearance or eligibility constraint genuinely applies — and that exemption must itself be justified.</t>
        </r>
      </text>
    </comment>
    <comment ref="B50" authorId="0">
      <text>
        <r>
          <rPr>
            <sz val="10"/>
            <rFont val="Arial"/>
            <family val="2"/>
          </rPr>
          <t xml:space="preserve">Operational runbooks plus demonstration they work — e.g. a recovery actually performed from them, or troubleshooting carried out by someone other than the original operator.</t>
        </r>
      </text>
    </comment>
    <comment ref="B52" authorId="0">
      <text>
        <r>
          <rPr>
            <sz val="10"/>
            <rFont val="Arial"/>
            <family val="2"/>
          </rPr>
          <t xml:space="preserve">Live monitoring, logging, or telemetry output that an assessor can actually view. Absence: the component emits nothing inspectable — floor.</t>
        </r>
      </text>
    </comment>
    <comment ref="B53" authorId="0">
      <text>
        <r>
          <rPr>
            <sz val="10"/>
            <rFont val="Arial"/>
            <family val="2"/>
          </rPr>
          <t xml:space="preserve">A test suite plus coverage data and a history of it actually catching regressions before release.</t>
        </r>
      </text>
    </comment>
    <comment ref="B54" authorId="0">
      <text>
        <r>
          <rPr>
            <sz val="10"/>
            <rFont val="Arial"/>
            <family val="2"/>
          </rPr>
          <t xml:space="preserve">Deployment and rollback logs showing both happening repeatedly without incident. A runbook describing the process is not evidence it is routine.</t>
        </r>
      </text>
    </comment>
    <comment ref="B55" authorId="0">
      <text>
        <r>
          <rPr>
            <sz val="10"/>
            <rFont val="Arial"/>
            <family val="2"/>
          </rPr>
          <t xml:space="preserve">A test/staging environment that exists, plus evidence of how closely it matches production and of changes having been validated there.</t>
        </r>
      </text>
    </comment>
    <comment ref="B56" authorId="0">
      <text>
        <r>
          <rPr>
            <sz val="10"/>
            <rFont val="Arial"/>
            <family val="2"/>
          </rPr>
          <t xml:space="preserve">The actual elapsed time and cost of recent changes through the assurance process — the demonstrated fact that change still happens. Absence: no change has completed assurance recently enough to judge, or the process cannot be timed — floor, flagged.</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16" authorId="0">
      <text>
        <r>
          <rPr>
            <sz val="10"/>
            <rFont val="Arial"/>
            <family val="2"/>
          </rPr>
          <t xml:space="preserve">The component running, or having run, on a second distinct environment; or an architecture record identifying host dependencies and showing they are abstracted. Absence: no second environment can be named and no design record addresses portability — floor.</t>
        </r>
      </text>
    </comment>
    <comment ref="B17" authorId="0">
      <text>
        <r>
          <rPr>
            <sz val="10"/>
            <rFont val="Arial"/>
            <family val="2"/>
          </rPr>
          <t xml:space="preserve">A current dependency/version inventory cross-referable to vendor or community support lifecycle dates.</t>
        </r>
      </text>
    </comment>
    <comment ref="B18" authorId="0">
      <text>
        <r>
          <rPr>
            <sz val="10"/>
            <rFont val="Arial"/>
            <family val="2"/>
          </rPr>
          <t xml:space="preserve">An architecture record or dependency map showing external service calls and their substitutability, or evidence those interfaces are abstracted.</t>
        </r>
      </text>
    </comment>
    <comment ref="B19" authorId="0">
      <text>
        <r>
          <rPr>
            <sz val="10"/>
            <rFont val="Arial"/>
            <family val="2"/>
          </rPr>
          <t xml:space="preserve">Version-controlled infrastructure/config definitions, ideally with a record of the environment having been rebuilt from them.</t>
        </r>
      </text>
    </comment>
    <comment ref="B20" authorId="0">
      <text>
        <r>
          <rPr>
            <sz val="10"/>
            <rFont val="Arial"/>
            <family val="2"/>
          </rPr>
          <t xml:space="preserve">Documented data formats and schema, plus a record of a successful standard-tool extract/migration or a defensible assessment that one is possible.</t>
        </r>
      </text>
    </comment>
    <comment ref="B22" authorId="0">
      <text>
        <r>
          <rPr>
            <sz val="10"/>
            <rFont val="Arial"/>
            <family val="2"/>
          </rPr>
          <t xml:space="preserve">A design or service record stating what the component does and does not own, recognisable in the actual code structure.</t>
        </r>
      </text>
    </comment>
    <comment ref="B23" authorId="0">
      <text>
        <r>
          <rPr>
            <sz val="10"/>
            <rFont val="Arial"/>
            <family val="2"/>
          </rPr>
          <t xml:space="preserve">A build/release record showing it has been released on its own, separate from other components. Absence: every release on record is part of a coordinated multi-component effort — floor.</t>
        </r>
      </text>
    </comment>
    <comment ref="B24" authorId="0">
      <text>
        <r>
          <rPr>
            <sz val="10"/>
            <rFont val="Arial"/>
            <family val="2"/>
          </rPr>
          <t xml:space="preserve">Internal structure visible in the codebase, plus change history showing past changes stayed localised.</t>
        </r>
      </text>
    </comment>
    <comment ref="B25" authorId="0">
      <text>
        <r>
          <rPr>
            <sz val="10"/>
            <rFont val="Arial"/>
            <family val="2"/>
          </rPr>
          <t xml:space="preserve">A data/interaction map showing what state is shared and how access is mediated; or demonstrable absence of components reaching into each other's internals.</t>
        </r>
      </text>
    </comment>
    <comment ref="B26" authorId="0">
      <text>
        <r>
          <rPr>
            <sz val="10"/>
            <rFont val="Arial"/>
            <family val="2"/>
          </rPr>
          <t xml:space="preserve">Defined internal interfaces, ideally with a record of a part having been swapped without rebuilding the boundary.</t>
        </r>
      </text>
    </comment>
    <comment ref="B28" authorId="0">
      <text>
        <r>
          <rPr>
            <sz val="10"/>
            <rFont val="Arial"/>
            <family val="2"/>
          </rPr>
          <t xml:space="preserve">Interface definitions or contracts that exist as inspectable artefacts, not descriptions of behaviour after the fact.</t>
        </r>
      </text>
    </comment>
    <comment ref="B29" authorId="0">
      <text>
        <r>
          <rPr>
            <sz val="10"/>
            <rFont val="Arial"/>
            <family val="2"/>
          </rPr>
          <t xml:space="preserve">A versioning scheme visible in the interface artefacts, plus history of a version change managed without breaking counterparts.</t>
        </r>
      </text>
    </comment>
    <comment ref="B30" authorId="0">
      <text>
        <r>
          <rPr>
            <sz val="10"/>
            <rFont val="Arial"/>
            <family val="2"/>
          </rPr>
          <t xml:space="preserve">Integration endpoints held in external configuration, ideally with a record of one having been re-pointed without a code change. Absence: endpoints are wired into the component and any change requires modifying it — floor.</t>
        </r>
      </text>
    </comment>
    <comment ref="B31" authorId="0">
      <text>
        <r>
          <rPr>
            <sz val="10"/>
            <rFont val="Arial"/>
            <family val="2"/>
          </rPr>
          <t xml:space="preserve">Integration design showing explicit sequencing/handling; or demonstrable absence of incident history caused by timing or ordering.</t>
        </r>
      </text>
    </comment>
    <comment ref="B32" authorId="0">
      <text>
        <r>
          <rPr>
            <sz val="10"/>
            <rFont val="Arial"/>
            <family val="2"/>
          </rPr>
          <t xml:space="preserve">Stubs, mocks, simulators, or a contract-test suite that exists and is exercisable without the live counterpart.</t>
        </r>
      </text>
    </comment>
    <comment ref="B34" authorId="0">
      <text>
        <r>
          <rPr>
            <sz val="10"/>
            <rFont val="Arial"/>
            <family val="2"/>
          </rPr>
          <t xml:space="preserve">Language/framework version cross-referable to a current support lifecycle, plus a defensible view of the skills market. Absence: version unidentified or out of support and skills position unknown — floor.</t>
        </r>
      </text>
    </comment>
    <comment ref="B35" authorId="0">
      <text>
        <r>
          <rPr>
            <sz val="10"/>
            <rFont val="Arial"/>
            <family val="2"/>
          </rPr>
          <t xml:space="preserve">Change lead-time and change-failure history; or a code-quality assessment. Team assertion that change is 'fine' is not evidence — the change record is.</t>
        </r>
      </text>
    </comment>
    <comment ref="B36" authorId="0">
      <text>
        <r>
          <rPr>
            <sz val="10"/>
            <rFont val="Arial"/>
            <family val="2"/>
          </rPr>
          <t xml:space="preserve">A working build that demonstrably pulls current dependencies; or a recent successful dependency/patch update on record.</t>
        </r>
      </text>
    </comment>
    <comment ref="B37" authorId="0">
      <text>
        <r>
          <rPr>
            <sz val="10"/>
            <rFont val="Arial"/>
            <family val="2"/>
          </rPr>
          <t xml:space="preserve">A code analysis identifying dead/unreachable code; or a clean assessment. A claim of cleanliness with no analysis behind it is not evidence.</t>
        </r>
      </text>
    </comment>
    <comment ref="B38" authorId="0">
      <text>
        <r>
          <rPr>
            <sz val="10"/>
            <rFont val="Arial"/>
            <family val="2"/>
          </rPr>
          <t xml:space="preserve">Behavioural specifications or documentation sufficient to restate what a section does independently of reading the code.</t>
        </r>
      </text>
    </comment>
    <comment ref="B40" authorId="0">
      <text>
        <r>
          <rPr>
            <sz val="10"/>
            <rFont val="Arial"/>
            <family val="2"/>
          </rPr>
          <t xml:space="preserve">Documentation that demonstrably matches current behaviour — ideally validated by someone using it to predict or explain an output correctly. Absence: logic exists only as code, or documentation cannot be shown to be current — floor.</t>
        </r>
      </text>
    </comment>
    <comment ref="B41" authorId="0">
      <text>
        <r>
          <rPr>
            <sz val="10"/>
            <rFont val="Arial"/>
            <family val="2"/>
          </rPr>
          <t xml:space="preserve">An assessor or engineer can point to where the bespoke logic lives, distinct from general-purpose code.</t>
        </r>
      </text>
    </comment>
    <comment ref="B42" authorId="0">
      <text>
        <r>
          <rPr>
            <sz val="10"/>
            <rFont val="Arial"/>
            <family val="2"/>
          </rPr>
          <t xml:space="preserve">A specification exists as an artefact independent of the code, complete enough that re-implementation would not require reading the code.</t>
        </r>
      </text>
    </comment>
    <comment ref="B43" authorId="0">
      <text>
        <r>
          <rPr>
            <sz val="10"/>
            <rFont val="Arial"/>
            <family val="2"/>
          </rPr>
          <t xml:space="preserve">Edge cases and their rationale are recorded; or demonstrable confidence — via people or records — that the rationale behind existing edge-case handling is recoverable.</t>
        </r>
      </text>
    </comment>
    <comment ref="B44" authorId="0">
      <text>
        <r>
          <rPr>
            <sz val="10"/>
            <rFont val="Arial"/>
            <family val="2"/>
          </rPr>
          <t xml:space="preserve">A reference specification or test set exists that would let a re-implementation be validated as behaviourally correct.</t>
        </r>
      </text>
    </comment>
    <comment ref="B46" authorId="0">
      <text>
        <r>
          <rPr>
            <sz val="10"/>
            <rFont val="Arial"/>
            <family val="2"/>
          </rPr>
          <t xml:space="preserve">More than one person has independently made a non-trivial change; or the component has demonstrably survived a relevant departure. Absence: all evidence points to a single individual — floor.</t>
        </r>
      </text>
    </comment>
    <comment ref="B47" authorId="0">
      <text>
        <r>
          <rPr>
            <sz val="10"/>
            <rFont val="Arial"/>
            <family val="2"/>
          </rPr>
          <t xml:space="preserve">A documented instance of someone onboarding from the documentation; or documentation an assessor judges sufficient against that test. Existence of documentation is not the same as it being sufficient.</t>
        </r>
      </text>
    </comment>
    <comment ref="B48" authorId="0">
      <text>
        <r>
          <rPr>
            <sz val="10"/>
            <rFont val="Arial"/>
            <family val="2"/>
          </rPr>
          <t xml:space="preserve">Decision records, architecture rationale, or equivalent capturing the 'why', not only the current state.</t>
        </r>
      </text>
    </comment>
    <comment ref="B49" authorId="0">
      <text>
        <r>
          <rPr>
            <sz val="10"/>
            <rFont val="Arial"/>
            <family val="2"/>
          </rPr>
          <t xml:space="preserve">A demonstrable count of eligible (cleared/qualified) individuals who hold working knowledge. Score N/A only where no clearance or eligibility constraint genuinely applies — and that exemption must itself be justified.</t>
        </r>
      </text>
    </comment>
    <comment ref="B50" authorId="0">
      <text>
        <r>
          <rPr>
            <sz val="10"/>
            <rFont val="Arial"/>
            <family val="2"/>
          </rPr>
          <t xml:space="preserve">Operational runbooks plus demonstration they work — e.g. a recovery actually performed from them, or troubleshooting carried out by someone other than the original operator.</t>
        </r>
      </text>
    </comment>
    <comment ref="B52" authorId="0">
      <text>
        <r>
          <rPr>
            <sz val="10"/>
            <rFont val="Arial"/>
            <family val="2"/>
          </rPr>
          <t xml:space="preserve">Live monitoring, logging, or telemetry output that an assessor can actually view. Absence: the component emits nothing inspectable — floor.</t>
        </r>
      </text>
    </comment>
    <comment ref="B53" authorId="0">
      <text>
        <r>
          <rPr>
            <sz val="10"/>
            <rFont val="Arial"/>
            <family val="2"/>
          </rPr>
          <t xml:space="preserve">A test suite plus coverage data and a history of it actually catching regressions before release.</t>
        </r>
      </text>
    </comment>
    <comment ref="B54" authorId="0">
      <text>
        <r>
          <rPr>
            <sz val="10"/>
            <rFont val="Arial"/>
            <family val="2"/>
          </rPr>
          <t xml:space="preserve">Deployment and rollback logs showing both happening repeatedly without incident. A runbook describing the process is not evidence it is routine.</t>
        </r>
      </text>
    </comment>
    <comment ref="B55" authorId="0">
      <text>
        <r>
          <rPr>
            <sz val="10"/>
            <rFont val="Arial"/>
            <family val="2"/>
          </rPr>
          <t xml:space="preserve">A test/staging environment that exists, plus evidence of how closely it matches production and of changes having been validated there.</t>
        </r>
      </text>
    </comment>
    <comment ref="B56" authorId="0">
      <text>
        <r>
          <rPr>
            <sz val="10"/>
            <rFont val="Arial"/>
            <family val="2"/>
          </rPr>
          <t xml:space="preserve">The actual elapsed time and cost of recent changes through the assurance process — the demonstrated fact that change still happens. Absence: no change has completed assurance recently enough to judge, or the process cannot be timed — floor, flagged.</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16" authorId="0">
      <text>
        <r>
          <rPr>
            <sz val="10"/>
            <rFont val="Arial"/>
            <family val="2"/>
          </rPr>
          <t xml:space="preserve">The component running, or having run, on a second distinct environment; or an architecture record identifying host dependencies and showing they are abstracted. Absence: no second environment can be named and no design record addresses portability — floor.</t>
        </r>
      </text>
    </comment>
    <comment ref="B17" authorId="0">
      <text>
        <r>
          <rPr>
            <sz val="10"/>
            <rFont val="Arial"/>
            <family val="2"/>
          </rPr>
          <t xml:space="preserve">A current dependency/version inventory cross-referable to vendor or community support lifecycle dates.</t>
        </r>
      </text>
    </comment>
    <comment ref="B18" authorId="0">
      <text>
        <r>
          <rPr>
            <sz val="10"/>
            <rFont val="Arial"/>
            <family val="2"/>
          </rPr>
          <t xml:space="preserve">An architecture record or dependency map showing external service calls and their substitutability, or evidence those interfaces are abstracted.</t>
        </r>
      </text>
    </comment>
    <comment ref="B19" authorId="0">
      <text>
        <r>
          <rPr>
            <sz val="10"/>
            <rFont val="Arial"/>
            <family val="2"/>
          </rPr>
          <t xml:space="preserve">Version-controlled infrastructure/config definitions, ideally with a record of the environment having been rebuilt from them.</t>
        </r>
      </text>
    </comment>
    <comment ref="B20" authorId="0">
      <text>
        <r>
          <rPr>
            <sz val="10"/>
            <rFont val="Arial"/>
            <family val="2"/>
          </rPr>
          <t xml:space="preserve">Documented data formats and schema, plus a record of a successful standard-tool extract/migration or a defensible assessment that one is possible.</t>
        </r>
      </text>
    </comment>
    <comment ref="B22" authorId="0">
      <text>
        <r>
          <rPr>
            <sz val="10"/>
            <rFont val="Arial"/>
            <family val="2"/>
          </rPr>
          <t xml:space="preserve">A design or service record stating what the component does and does not own, recognisable in the actual code structure.</t>
        </r>
      </text>
    </comment>
    <comment ref="B23" authorId="0">
      <text>
        <r>
          <rPr>
            <sz val="10"/>
            <rFont val="Arial"/>
            <family val="2"/>
          </rPr>
          <t xml:space="preserve">A build/release record showing it has been released on its own, separate from other components. Absence: every release on record is part of a coordinated multi-component effort — floor.</t>
        </r>
      </text>
    </comment>
    <comment ref="B24" authorId="0">
      <text>
        <r>
          <rPr>
            <sz val="10"/>
            <rFont val="Arial"/>
            <family val="2"/>
          </rPr>
          <t xml:space="preserve">Internal structure visible in the codebase, plus change history showing past changes stayed localised.</t>
        </r>
      </text>
    </comment>
    <comment ref="B25" authorId="0">
      <text>
        <r>
          <rPr>
            <sz val="10"/>
            <rFont val="Arial"/>
            <family val="2"/>
          </rPr>
          <t xml:space="preserve">A data/interaction map showing what state is shared and how access is mediated; or demonstrable absence of components reaching into each other's internals.</t>
        </r>
      </text>
    </comment>
    <comment ref="B26" authorId="0">
      <text>
        <r>
          <rPr>
            <sz val="10"/>
            <rFont val="Arial"/>
            <family val="2"/>
          </rPr>
          <t xml:space="preserve">Defined internal interfaces, ideally with a record of a part having been swapped without rebuilding the boundary.</t>
        </r>
      </text>
    </comment>
    <comment ref="B28" authorId="0">
      <text>
        <r>
          <rPr>
            <sz val="10"/>
            <rFont val="Arial"/>
            <family val="2"/>
          </rPr>
          <t xml:space="preserve">Interface definitions or contracts that exist as inspectable artefacts, not descriptions of behaviour after the fact.</t>
        </r>
      </text>
    </comment>
    <comment ref="B29" authorId="0">
      <text>
        <r>
          <rPr>
            <sz val="10"/>
            <rFont val="Arial"/>
            <family val="2"/>
          </rPr>
          <t xml:space="preserve">A versioning scheme visible in the interface artefacts, plus history of a version change managed without breaking counterparts.</t>
        </r>
      </text>
    </comment>
    <comment ref="B30" authorId="0">
      <text>
        <r>
          <rPr>
            <sz val="10"/>
            <rFont val="Arial"/>
            <family val="2"/>
          </rPr>
          <t xml:space="preserve">Integration endpoints held in external configuration, ideally with a record of one having been re-pointed without a code change. Absence: endpoints are wired into the component and any change requires modifying it — floor.</t>
        </r>
      </text>
    </comment>
    <comment ref="B31" authorId="0">
      <text>
        <r>
          <rPr>
            <sz val="10"/>
            <rFont val="Arial"/>
            <family val="2"/>
          </rPr>
          <t xml:space="preserve">Integration design showing explicit sequencing/handling; or demonstrable absence of incident history caused by timing or ordering.</t>
        </r>
      </text>
    </comment>
    <comment ref="B32" authorId="0">
      <text>
        <r>
          <rPr>
            <sz val="10"/>
            <rFont val="Arial"/>
            <family val="2"/>
          </rPr>
          <t xml:space="preserve">Stubs, mocks, simulators, or a contract-test suite that exists and is exercisable without the live counterpart.</t>
        </r>
      </text>
    </comment>
    <comment ref="B34" authorId="0">
      <text>
        <r>
          <rPr>
            <sz val="10"/>
            <rFont val="Arial"/>
            <family val="2"/>
          </rPr>
          <t xml:space="preserve">Language/framework version cross-referable to a current support lifecycle, plus a defensible view of the skills market. Absence: version unidentified or out of support and skills position unknown — floor.</t>
        </r>
      </text>
    </comment>
    <comment ref="B35" authorId="0">
      <text>
        <r>
          <rPr>
            <sz val="10"/>
            <rFont val="Arial"/>
            <family val="2"/>
          </rPr>
          <t xml:space="preserve">Change lead-time and change-failure history; or a code-quality assessment. Team assertion that change is 'fine' is not evidence — the change record is.</t>
        </r>
      </text>
    </comment>
    <comment ref="B36" authorId="0">
      <text>
        <r>
          <rPr>
            <sz val="10"/>
            <rFont val="Arial"/>
            <family val="2"/>
          </rPr>
          <t xml:space="preserve">A working build that demonstrably pulls current dependencies; or a recent successful dependency/patch update on record.</t>
        </r>
      </text>
    </comment>
    <comment ref="B37" authorId="0">
      <text>
        <r>
          <rPr>
            <sz val="10"/>
            <rFont val="Arial"/>
            <family val="2"/>
          </rPr>
          <t xml:space="preserve">A code analysis identifying dead/unreachable code; or a clean assessment. A claim of cleanliness with no analysis behind it is not evidence.</t>
        </r>
      </text>
    </comment>
    <comment ref="B38" authorId="0">
      <text>
        <r>
          <rPr>
            <sz val="10"/>
            <rFont val="Arial"/>
            <family val="2"/>
          </rPr>
          <t xml:space="preserve">Behavioural specifications or documentation sufficient to restate what a section does independently of reading the code.</t>
        </r>
      </text>
    </comment>
    <comment ref="B40" authorId="0">
      <text>
        <r>
          <rPr>
            <sz val="10"/>
            <rFont val="Arial"/>
            <family val="2"/>
          </rPr>
          <t xml:space="preserve">Documentation that demonstrably matches current behaviour — ideally validated by someone using it to predict or explain an output correctly. Absence: logic exists only as code, or documentation cannot be shown to be current — floor.</t>
        </r>
      </text>
    </comment>
    <comment ref="B41" authorId="0">
      <text>
        <r>
          <rPr>
            <sz val="10"/>
            <rFont val="Arial"/>
            <family val="2"/>
          </rPr>
          <t xml:space="preserve">An assessor or engineer can point to where the bespoke logic lives, distinct from general-purpose code.</t>
        </r>
      </text>
    </comment>
    <comment ref="B42" authorId="0">
      <text>
        <r>
          <rPr>
            <sz val="10"/>
            <rFont val="Arial"/>
            <family val="2"/>
          </rPr>
          <t xml:space="preserve">A specification exists as an artefact independent of the code, complete enough that re-implementation would not require reading the code.</t>
        </r>
      </text>
    </comment>
    <comment ref="B43" authorId="0">
      <text>
        <r>
          <rPr>
            <sz val="10"/>
            <rFont val="Arial"/>
            <family val="2"/>
          </rPr>
          <t xml:space="preserve">Edge cases and their rationale are recorded; or demonstrable confidence — via people or records — that the rationale behind existing edge-case handling is recoverable.</t>
        </r>
      </text>
    </comment>
    <comment ref="B44" authorId="0">
      <text>
        <r>
          <rPr>
            <sz val="10"/>
            <rFont val="Arial"/>
            <family val="2"/>
          </rPr>
          <t xml:space="preserve">A reference specification or test set exists that would let a re-implementation be validated as behaviourally correct.</t>
        </r>
      </text>
    </comment>
    <comment ref="B46" authorId="0">
      <text>
        <r>
          <rPr>
            <sz val="10"/>
            <rFont val="Arial"/>
            <family val="2"/>
          </rPr>
          <t xml:space="preserve">More than one person has independently made a non-trivial change; or the component has demonstrably survived a relevant departure. Absence: all evidence points to a single individual — floor.</t>
        </r>
      </text>
    </comment>
    <comment ref="B47" authorId="0">
      <text>
        <r>
          <rPr>
            <sz val="10"/>
            <rFont val="Arial"/>
            <family val="2"/>
          </rPr>
          <t xml:space="preserve">A documented instance of someone onboarding from the documentation; or documentation an assessor judges sufficient against that test. Existence of documentation is not the same as it being sufficient.</t>
        </r>
      </text>
    </comment>
    <comment ref="B48" authorId="0">
      <text>
        <r>
          <rPr>
            <sz val="10"/>
            <rFont val="Arial"/>
            <family val="2"/>
          </rPr>
          <t xml:space="preserve">Decision records, architecture rationale, or equivalent capturing the 'why', not only the current state.</t>
        </r>
      </text>
    </comment>
    <comment ref="B49" authorId="0">
      <text>
        <r>
          <rPr>
            <sz val="10"/>
            <rFont val="Arial"/>
            <family val="2"/>
          </rPr>
          <t xml:space="preserve">A demonstrable count of eligible (cleared/qualified) individuals who hold working knowledge. Score N/A only where no clearance or eligibility constraint genuinely applies — and that exemption must itself be justified.</t>
        </r>
      </text>
    </comment>
    <comment ref="B50" authorId="0">
      <text>
        <r>
          <rPr>
            <sz val="10"/>
            <rFont val="Arial"/>
            <family val="2"/>
          </rPr>
          <t xml:space="preserve">Operational runbooks plus demonstration they work — e.g. a recovery actually performed from them, or troubleshooting carried out by someone other than the original operator.</t>
        </r>
      </text>
    </comment>
    <comment ref="B52" authorId="0">
      <text>
        <r>
          <rPr>
            <sz val="10"/>
            <rFont val="Arial"/>
            <family val="2"/>
          </rPr>
          <t xml:space="preserve">Live monitoring, logging, or telemetry output that an assessor can actually view. Absence: the component emits nothing inspectable — floor.</t>
        </r>
      </text>
    </comment>
    <comment ref="B53" authorId="0">
      <text>
        <r>
          <rPr>
            <sz val="10"/>
            <rFont val="Arial"/>
            <family val="2"/>
          </rPr>
          <t xml:space="preserve">A test suite plus coverage data and a history of it actually catching regressions before release.</t>
        </r>
      </text>
    </comment>
    <comment ref="B54" authorId="0">
      <text>
        <r>
          <rPr>
            <sz val="10"/>
            <rFont val="Arial"/>
            <family val="2"/>
          </rPr>
          <t xml:space="preserve">Deployment and rollback logs showing both happening repeatedly without incident. A runbook describing the process is not evidence it is routine.</t>
        </r>
      </text>
    </comment>
    <comment ref="B55" authorId="0">
      <text>
        <r>
          <rPr>
            <sz val="10"/>
            <rFont val="Arial"/>
            <family val="2"/>
          </rPr>
          <t xml:space="preserve">A test/staging environment that exists, plus evidence of how closely it matches production and of changes having been validated there.</t>
        </r>
      </text>
    </comment>
    <comment ref="B56" authorId="0">
      <text>
        <r>
          <rPr>
            <sz val="10"/>
            <rFont val="Arial"/>
            <family val="2"/>
          </rPr>
          <t xml:space="preserve">The actual elapsed time and cost of recent changes through the assurance process — the demonstrated fact that change still happens. Absence: no change has completed assurance recently enough to judge, or the process cannot be timed — floor, flagged.</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16" authorId="0">
      <text>
        <r>
          <rPr>
            <sz val="10"/>
            <rFont val="Arial"/>
            <family val="2"/>
          </rPr>
          <t xml:space="preserve">The component running, or having run, on a second distinct environment; or an architecture record identifying host dependencies and showing they are abstracted. Absence: no second environment can be named and no design record addresses portability — floor.</t>
        </r>
      </text>
    </comment>
    <comment ref="B17" authorId="0">
      <text>
        <r>
          <rPr>
            <sz val="10"/>
            <rFont val="Arial"/>
            <family val="2"/>
          </rPr>
          <t xml:space="preserve">A current dependency/version inventory cross-referable to vendor or community support lifecycle dates.</t>
        </r>
      </text>
    </comment>
    <comment ref="B18" authorId="0">
      <text>
        <r>
          <rPr>
            <sz val="10"/>
            <rFont val="Arial"/>
            <family val="2"/>
          </rPr>
          <t xml:space="preserve">An architecture record or dependency map showing external service calls and their substitutability, or evidence those interfaces are abstracted.</t>
        </r>
      </text>
    </comment>
    <comment ref="B19" authorId="0">
      <text>
        <r>
          <rPr>
            <sz val="10"/>
            <rFont val="Arial"/>
            <family val="2"/>
          </rPr>
          <t xml:space="preserve">Version-controlled infrastructure/config definitions, ideally with a record of the environment having been rebuilt from them.</t>
        </r>
      </text>
    </comment>
    <comment ref="B20" authorId="0">
      <text>
        <r>
          <rPr>
            <sz val="10"/>
            <rFont val="Arial"/>
            <family val="2"/>
          </rPr>
          <t xml:space="preserve">Documented data formats and schema, plus a record of a successful standard-tool extract/migration or a defensible assessment that one is possible.</t>
        </r>
      </text>
    </comment>
    <comment ref="B22" authorId="0">
      <text>
        <r>
          <rPr>
            <sz val="10"/>
            <rFont val="Arial"/>
            <family val="2"/>
          </rPr>
          <t xml:space="preserve">A design or service record stating what the component does and does not own, recognisable in the actual code structure.</t>
        </r>
      </text>
    </comment>
    <comment ref="B23" authorId="0">
      <text>
        <r>
          <rPr>
            <sz val="10"/>
            <rFont val="Arial"/>
            <family val="2"/>
          </rPr>
          <t xml:space="preserve">A build/release record showing it has been released on its own, separate from other components. Absence: every release on record is part of a coordinated multi-component effort — floor.</t>
        </r>
      </text>
    </comment>
    <comment ref="B24" authorId="0">
      <text>
        <r>
          <rPr>
            <sz val="10"/>
            <rFont val="Arial"/>
            <family val="2"/>
          </rPr>
          <t xml:space="preserve">Internal structure visible in the codebase, plus change history showing past changes stayed localised.</t>
        </r>
      </text>
    </comment>
    <comment ref="B25" authorId="0">
      <text>
        <r>
          <rPr>
            <sz val="10"/>
            <rFont val="Arial"/>
            <family val="2"/>
          </rPr>
          <t xml:space="preserve">A data/interaction map showing what state is shared and how access is mediated; or demonstrable absence of components reaching into each other's internals.</t>
        </r>
      </text>
    </comment>
    <comment ref="B26" authorId="0">
      <text>
        <r>
          <rPr>
            <sz val="10"/>
            <rFont val="Arial"/>
            <family val="2"/>
          </rPr>
          <t xml:space="preserve">Defined internal interfaces, ideally with a record of a part having been swapped without rebuilding the boundary.</t>
        </r>
      </text>
    </comment>
    <comment ref="B28" authorId="0">
      <text>
        <r>
          <rPr>
            <sz val="10"/>
            <rFont val="Arial"/>
            <family val="2"/>
          </rPr>
          <t xml:space="preserve">Interface definitions or contracts that exist as inspectable artefacts, not descriptions of behaviour after the fact.</t>
        </r>
      </text>
    </comment>
    <comment ref="B29" authorId="0">
      <text>
        <r>
          <rPr>
            <sz val="10"/>
            <rFont val="Arial"/>
            <family val="2"/>
          </rPr>
          <t xml:space="preserve">A versioning scheme visible in the interface artefacts, plus history of a version change managed without breaking counterparts.</t>
        </r>
      </text>
    </comment>
    <comment ref="B30" authorId="0">
      <text>
        <r>
          <rPr>
            <sz val="10"/>
            <rFont val="Arial"/>
            <family val="2"/>
          </rPr>
          <t xml:space="preserve">Integration endpoints held in external configuration, ideally with a record of one having been re-pointed without a code change. Absence: endpoints are wired into the component and any change requires modifying it — floor.</t>
        </r>
      </text>
    </comment>
    <comment ref="B31" authorId="0">
      <text>
        <r>
          <rPr>
            <sz val="10"/>
            <rFont val="Arial"/>
            <family val="2"/>
          </rPr>
          <t xml:space="preserve">Integration design showing explicit sequencing/handling; or demonstrable absence of incident history caused by timing or ordering.</t>
        </r>
      </text>
    </comment>
    <comment ref="B32" authorId="0">
      <text>
        <r>
          <rPr>
            <sz val="10"/>
            <rFont val="Arial"/>
            <family val="2"/>
          </rPr>
          <t xml:space="preserve">Stubs, mocks, simulators, or a contract-test suite that exists and is exercisable without the live counterpart.</t>
        </r>
      </text>
    </comment>
    <comment ref="B34" authorId="0">
      <text>
        <r>
          <rPr>
            <sz val="10"/>
            <rFont val="Arial"/>
            <family val="2"/>
          </rPr>
          <t xml:space="preserve">Language/framework version cross-referable to a current support lifecycle, plus a defensible view of the skills market. Absence: version unidentified or out of support and skills position unknown — floor.</t>
        </r>
      </text>
    </comment>
    <comment ref="B35" authorId="0">
      <text>
        <r>
          <rPr>
            <sz val="10"/>
            <rFont val="Arial"/>
            <family val="2"/>
          </rPr>
          <t xml:space="preserve">Change lead-time and change-failure history; or a code-quality assessment. Team assertion that change is 'fine' is not evidence — the change record is.</t>
        </r>
      </text>
    </comment>
    <comment ref="B36" authorId="0">
      <text>
        <r>
          <rPr>
            <sz val="10"/>
            <rFont val="Arial"/>
            <family val="2"/>
          </rPr>
          <t xml:space="preserve">A working build that demonstrably pulls current dependencies; or a recent successful dependency/patch update on record.</t>
        </r>
      </text>
    </comment>
    <comment ref="B37" authorId="0">
      <text>
        <r>
          <rPr>
            <sz val="10"/>
            <rFont val="Arial"/>
            <family val="2"/>
          </rPr>
          <t xml:space="preserve">A code analysis identifying dead/unreachable code; or a clean assessment. A claim of cleanliness with no analysis behind it is not evidence.</t>
        </r>
      </text>
    </comment>
    <comment ref="B38" authorId="0">
      <text>
        <r>
          <rPr>
            <sz val="10"/>
            <rFont val="Arial"/>
            <family val="2"/>
          </rPr>
          <t xml:space="preserve">Behavioural specifications or documentation sufficient to restate what a section does independently of reading the code.</t>
        </r>
      </text>
    </comment>
    <comment ref="B40" authorId="0">
      <text>
        <r>
          <rPr>
            <sz val="10"/>
            <rFont val="Arial"/>
            <family val="2"/>
          </rPr>
          <t xml:space="preserve">Documentation that demonstrably matches current behaviour — ideally validated by someone using it to predict or explain an output correctly. Absence: logic exists only as code, or documentation cannot be shown to be current — floor.</t>
        </r>
      </text>
    </comment>
    <comment ref="B41" authorId="0">
      <text>
        <r>
          <rPr>
            <sz val="10"/>
            <rFont val="Arial"/>
            <family val="2"/>
          </rPr>
          <t xml:space="preserve">An assessor or engineer can point to where the bespoke logic lives, distinct from general-purpose code.</t>
        </r>
      </text>
    </comment>
    <comment ref="B42" authorId="0">
      <text>
        <r>
          <rPr>
            <sz val="10"/>
            <rFont val="Arial"/>
            <family val="2"/>
          </rPr>
          <t xml:space="preserve">A specification exists as an artefact independent of the code, complete enough that re-implementation would not require reading the code.</t>
        </r>
      </text>
    </comment>
    <comment ref="B43" authorId="0">
      <text>
        <r>
          <rPr>
            <sz val="10"/>
            <rFont val="Arial"/>
            <family val="2"/>
          </rPr>
          <t xml:space="preserve">Edge cases and their rationale are recorded; or demonstrable confidence — via people or records — that the rationale behind existing edge-case handling is recoverable.</t>
        </r>
      </text>
    </comment>
    <comment ref="B44" authorId="0">
      <text>
        <r>
          <rPr>
            <sz val="10"/>
            <rFont val="Arial"/>
            <family val="2"/>
          </rPr>
          <t xml:space="preserve">A reference specification or test set exists that would let a re-implementation be validated as behaviourally correct.</t>
        </r>
      </text>
    </comment>
    <comment ref="B46" authorId="0">
      <text>
        <r>
          <rPr>
            <sz val="10"/>
            <rFont val="Arial"/>
            <family val="2"/>
          </rPr>
          <t xml:space="preserve">More than one person has independently made a non-trivial change; or the component has demonstrably survived a relevant departure. Absence: all evidence points to a single individual — floor.</t>
        </r>
      </text>
    </comment>
    <comment ref="B47" authorId="0">
      <text>
        <r>
          <rPr>
            <sz val="10"/>
            <rFont val="Arial"/>
            <family val="2"/>
          </rPr>
          <t xml:space="preserve">A documented instance of someone onboarding from the documentation; or documentation an assessor judges sufficient against that test. Existence of documentation is not the same as it being sufficient.</t>
        </r>
      </text>
    </comment>
    <comment ref="B48" authorId="0">
      <text>
        <r>
          <rPr>
            <sz val="10"/>
            <rFont val="Arial"/>
            <family val="2"/>
          </rPr>
          <t xml:space="preserve">Decision records, architecture rationale, or equivalent capturing the 'why', not only the current state.</t>
        </r>
      </text>
    </comment>
    <comment ref="B49" authorId="0">
      <text>
        <r>
          <rPr>
            <sz val="10"/>
            <rFont val="Arial"/>
            <family val="2"/>
          </rPr>
          <t xml:space="preserve">A demonstrable count of eligible (cleared/qualified) individuals who hold working knowledge. Score N/A only where no clearance or eligibility constraint genuinely applies — and that exemption must itself be justified.</t>
        </r>
      </text>
    </comment>
    <comment ref="B50" authorId="0">
      <text>
        <r>
          <rPr>
            <sz val="10"/>
            <rFont val="Arial"/>
            <family val="2"/>
          </rPr>
          <t xml:space="preserve">Operational runbooks plus demonstration they work — e.g. a recovery actually performed from them, or troubleshooting carried out by someone other than the original operator.</t>
        </r>
      </text>
    </comment>
    <comment ref="B52" authorId="0">
      <text>
        <r>
          <rPr>
            <sz val="10"/>
            <rFont val="Arial"/>
            <family val="2"/>
          </rPr>
          <t xml:space="preserve">Live monitoring, logging, or telemetry output that an assessor can actually view. Absence: the component emits nothing inspectable — floor.</t>
        </r>
      </text>
    </comment>
    <comment ref="B53" authorId="0">
      <text>
        <r>
          <rPr>
            <sz val="10"/>
            <rFont val="Arial"/>
            <family val="2"/>
          </rPr>
          <t xml:space="preserve">A test suite plus coverage data and a history of it actually catching regressions before release.</t>
        </r>
      </text>
    </comment>
    <comment ref="B54" authorId="0">
      <text>
        <r>
          <rPr>
            <sz val="10"/>
            <rFont val="Arial"/>
            <family val="2"/>
          </rPr>
          <t xml:space="preserve">Deployment and rollback logs showing both happening repeatedly without incident. A runbook describing the process is not evidence it is routine.</t>
        </r>
      </text>
    </comment>
    <comment ref="B55" authorId="0">
      <text>
        <r>
          <rPr>
            <sz val="10"/>
            <rFont val="Arial"/>
            <family val="2"/>
          </rPr>
          <t xml:space="preserve">A test/staging environment that exists, plus evidence of how closely it matches production and of changes having been validated there.</t>
        </r>
      </text>
    </comment>
    <comment ref="B56" authorId="0">
      <text>
        <r>
          <rPr>
            <sz val="10"/>
            <rFont val="Arial"/>
            <family val="2"/>
          </rPr>
          <t xml:space="preserve">The actual elapsed time and cost of recent changes through the assurance process — the demonstrated fact that change still happens. Absence: no change has completed assurance recently enough to judge, or the process cannot be timed — floor, flagged.</t>
        </r>
      </text>
    </comment>
  </commentList>
</comments>
</file>

<file path=xl/sharedStrings.xml><?xml version="1.0" encoding="utf-8"?>
<sst xmlns="http://schemas.openxmlformats.org/spreadsheetml/2006/main" count="1429" uniqueCount="337">
  <si>
    <t xml:space="preserve">Legacy Assessment Framework v1.0  —  How to use this workbook</t>
  </si>
  <si>
    <t xml:space="preserve">Purpose</t>
  </si>
  <si>
    <t xml:space="preserve">This workbook operationalises the Legacy Assessment Framework. It scores a component across thirty-five tests grouped under seven headings of optionality, rolls those tests up to a heading rating, then rolls components up to a system rating. The instrument's job is to make the framework usable, defensible, and continuous — to turn legacy from a surprise into a managed trajectory.</t>
  </si>
  <si>
    <t xml:space="preserve">Workflow</t>
  </si>
  <si>
    <t xml:space="preserve">1.  On each Component sheet, complete the header block: component name, owner, assessor, date, mode, dependency classification, and trajectory.</t>
  </si>
  <si>
    <t xml:space="preserve">2.  Score each of the thirty-five tests against the anchored descriptors. Pick a score from the drop-down (1–5, or N/A where genuinely inapplicable). Record evidence status, the actual evidence cited, and the name of the person responsible for the cited evidence.</t>
  </si>
  <si>
    <t xml:space="preserve">3.  The workbook computes each heading rating using the gating rule, then the component rating from the worst heading.</t>
  </si>
  <si>
    <t xml:space="preserve">4.  On the System Dashboard, enter system-level details and add a row per component. The system rating is set by the worst rating among load-bearing components.</t>
  </si>
  <si>
    <t xml:space="preserve">5.  At the next assessment, copy the relevant Component sheet, complete a fresh scoring, and record the delta against the baseline. The score is the state. The delta is the signal.</t>
  </si>
  <si>
    <t xml:space="preserve">Calibration rules (from Section 3 of the framework)</t>
  </si>
  <si>
    <t xml:space="preserve">Demonstrated reality, not intent. The score reflects what is demonstrably true now, not what is planned. Evidence beats assertion — if it cannot be shown, it is not a 5.</t>
  </si>
  <si>
    <t xml:space="preserve">Score as-is, not as-designed. The cost of restoring optionality is the output of the assessment, not an input to the score.</t>
  </si>
  <si>
    <t xml:space="preserve">When uncertain, score down. A defensible amber is worth more than a flattering green. Optimism bias is the mechanism by which the decade-long surprise happens.</t>
  </si>
  <si>
    <t xml:space="preserve">Evidence absent ≠ score skipped. If evidence cannot be obtained, score the floor (1) and mark Evidence Status as Absent. The flag preserves the distinction; the score does not let the gap hide.</t>
  </si>
  <si>
    <t xml:space="preserve">Gating tests and heading rating</t>
  </si>
  <si>
    <t xml:space="preserve">Twelve of the thirty-five tests are designated gating tests (marked G in the Reference sheet). A score of 1 or 2 on any gating test floors the heading to RED regardless of the other tests. This implements the framework's load-bearing principle: the weakest load-bearing element governs.</t>
  </si>
  <si>
    <t xml:space="preserve">The non-gating tests give the heading its texture. The numeric thresholds used in this workbook are: average ≥ 4.0 = GREEN, 2.5 – 3.99 = AMBER, &lt; 2.5 = RED. These thresholds are stated openly here so they can be challenged and adjusted; they sit on top of the categorical gating rule, which remains the spine.</t>
  </si>
  <si>
    <t xml:space="preserve">System-level roll-up</t>
  </si>
  <si>
    <t xml:space="preserve">The System Dashboard applies the worst-load-bearing-component rule. The system rating is set by the worst rating among components classified as Load-bearing. Contributing and Peripheral components are visible on the dashboard as context but do not set the system rating. This is a statement about reality, not a posture of pessimism: a system with a red load-bearing component has in fact lost the ability to evolve without first dealing with that component.</t>
  </si>
  <si>
    <t xml:space="preserve">Modes of assessment</t>
  </si>
  <si>
    <t xml:space="preserve">Full assessment runs all thirty-five tests, scheduled at design baseline, go-live, major architectural change, and at least annually for load-bearing components. The go-live score is the registered baseline and is non-optional.</t>
  </si>
  <si>
    <t xml:space="preserve">Light check runs the twelve gating tests only, fed wherever possible from telemetry. Quarterly, or continuously where instrumentation allows. Its job is to detect movement on the tests most likely to floor a heading and to trigger a full assessment. The light check is the smoke detector; the full assessment is the inspection.</t>
  </si>
  <si>
    <t xml:space="preserve">Known open areas (Section 9 of the framework)</t>
  </si>
  <si>
    <t xml:space="preserve">Numeric dependency weighting is deliberately not used as the spine. The categorical worst-load-bearing rule is what survives a hostile review. A weighting layer may be added later as a tiebreaker for ranking multiple red systems against finite remediation budget.</t>
  </si>
  <si>
    <t xml:space="preserve">Assessor competence is not defined by the framework. Consistency in this workbook depends on the anchored descriptors, the evidence indicators, and continuity of assessors across consecutive assessments of the same component.</t>
  </si>
  <si>
    <t xml:space="preserve">A note on neutrality</t>
  </si>
  <si>
    <t xml:space="preserve">The framework measures optionality. It does not road toward any product, supplier, or remediation approach. A green score does not imply migration. A red score does not prescribe a supplier. The rating is only worth defending if the framework was capable of returning the answer no one wanted.</t>
  </si>
  <si>
    <t xml:space="preserve">System Dashboard</t>
  </si>
  <si>
    <t xml:space="preserve">System name</t>
  </si>
  <si>
    <t xml:space="preserve">System rating</t>
  </si>
  <si>
    <t xml:space="preserve">Set by</t>
  </si>
  <si>
    <t xml:space="preserve">Programme / department</t>
  </si>
  <si>
    <t xml:space="preserve">Senior Responsible Owner</t>
  </si>
  <si>
    <t xml:space="preserve">Lead assessor</t>
  </si>
  <si>
    <t xml:space="preserve">Assessment cycle</t>
  </si>
  <si>
    <t xml:space="preserve">Mode</t>
  </si>
  <si>
    <t xml:space="preserve">Date of this dashboard</t>
  </si>
  <si>
    <t xml:space="preserve">Previous dashboard date</t>
  </si>
  <si>
    <t xml:space="preserve">Notes</t>
  </si>
  <si>
    <t xml:space="preserve">Component register</t>
  </si>
  <si>
    <t xml:space="preserve">Component name</t>
  </si>
  <si>
    <t xml:space="preserve">Sheet reference</t>
  </si>
  <si>
    <t xml:space="preserve">Dependency class</t>
  </si>
  <si>
    <t xml:space="preserve">Portability</t>
  </si>
  <si>
    <t xml:space="preserve">Modularity</t>
  </si>
  <si>
    <t xml:space="preserve">Integration</t>
  </si>
  <si>
    <t xml:space="preserve">Modernisation</t>
  </si>
  <si>
    <t xml:space="preserve">Embedded IP</t>
  </si>
  <si>
    <t xml:space="preserve">Knowledge</t>
  </si>
  <si>
    <t xml:space="preserve">Observability</t>
  </si>
  <si>
    <t xml:space="preserve">Component rating</t>
  </si>
  <si>
    <t xml:space="preserve">Severity</t>
  </si>
  <si>
    <t xml:space="preserve">Component 1</t>
  </si>
  <si>
    <t xml:space="preserve">Component 2</t>
  </si>
  <si>
    <t xml:space="preserve">Component 3</t>
  </si>
  <si>
    <t xml:space="preserve">Component 4</t>
  </si>
  <si>
    <t xml:space="preserve">Component 5</t>
  </si>
  <si>
    <t xml:space="preserve">Roll-up rule</t>
  </si>
  <si>
    <t xml:space="preserve">The system rating is set by the worst rating among components classified as Load-bearing. Contributing and Peripheral components are visible above as context but do not set the system rating. This is a statement about reality, not a posture of pessimism: a system with a red load-bearing component has in fact lost the ability to evolve without first dealing with that component. The framework's load-bearing principle is one rule applied at two levels — gating tests govern the heading the way load-bearing components govern the system.</t>
  </si>
  <si>
    <t xml:space="preserve">Component Assessment  —  Component 1</t>
  </si>
  <si>
    <t xml:space="preserve">System / programme</t>
  </si>
  <si>
    <t xml:space="preserve">Lowest heading</t>
  </si>
  <si>
    <t xml:space="preserve">Owner (SRO or equivalent)</t>
  </si>
  <si>
    <t xml:space="preserve">Heading summary</t>
  </si>
  <si>
    <t xml:space="preserve">Assessor</t>
  </si>
  <si>
    <t xml:space="preserve">1. Portability</t>
  </si>
  <si>
    <t xml:space="preserve">Assessment date</t>
  </si>
  <si>
    <t xml:space="preserve">2. Modularity</t>
  </si>
  <si>
    <t xml:space="preserve">3. Integration</t>
  </si>
  <si>
    <t xml:space="preserve">Dependency classification</t>
  </si>
  <si>
    <t xml:space="preserve">4. Modernisation</t>
  </si>
  <si>
    <t xml:space="preserve">Trajectory state</t>
  </si>
  <si>
    <t xml:space="preserve">5. Embedded IP</t>
  </si>
  <si>
    <t xml:space="preserve">Previous assessment date</t>
  </si>
  <si>
    <t xml:space="preserve">6. Knowledge Transferability</t>
  </si>
  <si>
    <t xml:space="preserve">Notes / context</t>
  </si>
  <si>
    <t xml:space="preserve">7. Observability &amp; Testability</t>
  </si>
  <si>
    <t xml:space="preserve">Test</t>
  </si>
  <si>
    <t xml:space="preserve">Test title</t>
  </si>
  <si>
    <t xml:space="preserve">G</t>
  </si>
  <si>
    <t xml:space="preserve">Score</t>
  </si>
  <si>
    <t xml:space="preserve">Anchor 1</t>
  </si>
  <si>
    <t xml:space="preserve">Anchor 3</t>
  </si>
  <si>
    <t xml:space="preserve">Anchor 5</t>
  </si>
  <si>
    <t xml:space="preserve">Evidence status</t>
  </si>
  <si>
    <t xml:space="preserve">Evidence cited (what &amp; where)</t>
  </si>
  <si>
    <t xml:space="preserve">Evidence owner</t>
  </si>
  <si>
    <t xml:space="preserve">HID</t>
  </si>
  <si>
    <t xml:space="preserve">Avg (non-gate)</t>
  </si>
  <si>
    <t xml:space="preserve">Min gate</t>
  </si>
  <si>
    <t xml:space="preserve">Rating</t>
  </si>
  <si>
    <t xml:space="preserve">1.  Portability  —  Can it be moved?</t>
  </si>
  <si>
    <t xml:space="preserve">1.1</t>
  </si>
  <si>
    <t xml:space="preserve">Run on other infrastructure without redesign</t>
  </si>
  <si>
    <t xml:space="preserve">Bound to its current host; moving it means a redesign.</t>
  </si>
  <si>
    <t xml:space="preserve">Movable to similar infrastructure with significant rework or constraints.</t>
  </si>
  <si>
    <t xml:space="preserve">Runs on alternative infrastructure with configuration changes only.</t>
  </si>
  <si>
    <t xml:space="preserve">1.2</t>
  </si>
  <si>
    <t xml:space="preserve">Runtime dependencies current and supported</t>
  </si>
  <si>
    <t xml:space="preserve">Depends on out-of-support or end-of-life components.</t>
  </si>
  <si>
    <t xml:space="preserve">Mostly supported; some components near end-of-life or on extended support.</t>
  </si>
  <si>
    <t xml:space="preserve">All runtime dependencies are current and within their support lifecycle.</t>
  </si>
  <si>
    <t xml:space="preserve">1.3</t>
  </si>
  <si>
    <t xml:space="preserve">Free of hard coupling to proprietary services or hardware</t>
  </si>
  <si>
    <t xml:space="preserve">Core function depends on proprietary services with no equivalent elsewhere.</t>
  </si>
  <si>
    <t xml:space="preserve">Uses proprietary services, but behind abstractions or with known alternatives.</t>
  </si>
  <si>
    <t xml:space="preserve">Uses portable, substitutable, or open interfaces throughout.</t>
  </si>
  <si>
    <t xml:space="preserve">1.4</t>
  </si>
  <si>
    <t xml:space="preserve">Can be stood up from definition, not hand-built</t>
  </si>
  <si>
    <t xml:space="preserve">Environment exists only as a hand-built artefact; recreating it is reverse-engineering.</t>
  </si>
  <si>
    <t xml:space="preserve">Partially defined as code; some manual steps or tribal knowledge required.</t>
  </si>
  <si>
    <t xml:space="preserve">Fully reproducible from version-controlled definition.</t>
  </si>
  <si>
    <t xml:space="preserve">1.5</t>
  </si>
  <si>
    <t xml:space="preserve">Data extractable and migratable without bespoke tooling</t>
  </si>
  <si>
    <t xml:space="preserve">Data is locked in a proprietary or undocumented store; extraction needs custom development.</t>
  </si>
  <si>
    <t xml:space="preserve">Extractable, but with effort, format conversion, or partial bespoke tooling.</t>
  </si>
  <si>
    <t xml:space="preserve">Stored in documented, standard formats; extractable with standard tools.</t>
  </si>
  <si>
    <t xml:space="preserve">2.  Modularity  —  Can one part change without forcing the rest to change?</t>
  </si>
  <si>
    <t xml:space="preserve">2.1</t>
  </si>
  <si>
    <t xml:space="preserve">Clearly bounded responsibilities</t>
  </si>
  <si>
    <t xml:space="preserve">Responsibilities are diffuse; no clear statement of what it does and does not own.</t>
  </si>
  <si>
    <t xml:space="preserve">Broadly bounded, but with overlaps or grey areas with other components.</t>
  </si>
  <si>
    <t xml:space="preserve">Clear, documented, single area of responsibility.</t>
  </si>
  <si>
    <t xml:space="preserve">2.2</t>
  </si>
  <si>
    <t xml:space="preserve">Can be developed, built and released independently</t>
  </si>
  <si>
    <t xml:space="preserve">Cannot be built or released except as part of a larger coordinated effort.</t>
  </si>
  <si>
    <t xml:space="preserve">Independently buildable, but release is coupled to others in practice.</t>
  </si>
  <si>
    <t xml:space="preserve">Developed, built and released on its own cadence.</t>
  </si>
  <si>
    <t xml:space="preserve">2.3</t>
  </si>
  <si>
    <t xml:space="preserve">Internal parts separable, not rippling unpredictably</t>
  </si>
  <si>
    <t xml:space="preserve">Internally entangled; any change risks unpredictable effects elsewhere.</t>
  </si>
  <si>
    <t xml:space="preserve">Some internal structure; ripple is bounded but not fully predictable.</t>
  </si>
  <si>
    <t xml:space="preserve">Cleanly partitioned internally; change effects are localised and predictable.</t>
  </si>
  <si>
    <t xml:space="preserve">2.4</t>
  </si>
  <si>
    <t xml:space="preserve">Shared mutable state avoided or tightly controlled</t>
  </si>
  <si>
    <t xml:space="preserve">Shares mutable state freely; other components reach into its internals or vice versa.</t>
  </si>
  <si>
    <t xml:space="preserve">Some shared state, but mediated or documented.</t>
  </si>
  <si>
    <t xml:space="preserve">No uncontrolled shared state; interaction is through defined boundaries only.</t>
  </si>
  <si>
    <t xml:space="preserve">2.5</t>
  </si>
  <si>
    <t xml:space="preserve">A part can be replaced behind the same boundary</t>
  </si>
  <si>
    <t xml:space="preserve">Implementation and interface are inseparable; replacing the part means rebuilding the boundary.</t>
  </si>
  <si>
    <t xml:space="preserve">Replaceable with effort; the boundary leaks implementation detail.</t>
  </si>
  <si>
    <t xml:space="preserve">Parts sit behind stable boundaries and can be swapped freely.</t>
  </si>
  <si>
    <t xml:space="preserve">3.  Integration  —  Can its connections be changed plug-and-play?</t>
  </si>
  <si>
    <t xml:space="preserve">3.1</t>
  </si>
  <si>
    <t xml:space="preserve">Integrates through defined, documented interfaces</t>
  </si>
  <si>
    <t xml:space="preserve">Integrations rely on undocumented assumptions about behaviour, format, or timing.</t>
  </si>
  <si>
    <t xml:space="preserve">Interfaces exist and are partly documented; some assumptions remain implicit.</t>
  </si>
  <si>
    <t xml:space="preserve">All integrations through defined, documented interfaces.</t>
  </si>
  <si>
    <t xml:space="preserve">3.2</t>
  </si>
  <si>
    <t xml:space="preserve">Interfaces versioned so each side can change independently</t>
  </si>
  <si>
    <t xml:space="preserve">No versioning; any interface change is a breaking change.</t>
  </si>
  <si>
    <t xml:space="preserve">Some versioning or backward-compatibility discipline, inconsistently applied.</t>
  </si>
  <si>
    <t xml:space="preserve">Interfaces are versioned; producers and consumers can evolve independently.</t>
  </si>
  <si>
    <t xml:space="preserve">3.3</t>
  </si>
  <si>
    <t xml:space="preserve">An integration can be re-pointed without modifying the core</t>
  </si>
  <si>
    <t xml:space="preserve">Integration endpoints are wired into the core; changing one means changing the component.</t>
  </si>
  <si>
    <t xml:space="preserve">Re-pointable with configuration change plus some code change.</t>
  </si>
  <si>
    <t xml:space="preserve">Integrations are externally configured; swappable without touching the core.</t>
  </si>
  <si>
    <t xml:space="preserve">3.4</t>
  </si>
  <si>
    <t xml:space="preserve">Free of brittle point-to-point couplings</t>
  </si>
  <si>
    <t xml:space="preserve">Depends on undocumented timing, ordering, or sequence to function.</t>
  </si>
  <si>
    <t xml:space="preserve">Some fragile couplings, known and worked around.</t>
  </si>
  <si>
    <t xml:space="preserve">No reliance on incidental timing or order; couplings are explicit and robust.</t>
  </si>
  <si>
    <t xml:space="preserve">3.5</t>
  </si>
  <si>
    <t xml:space="preserve">Integration contracts testable independently</t>
  </si>
  <si>
    <t xml:space="preserve">Integrations can only be tested against live counterpart systems.</t>
  </si>
  <si>
    <t xml:space="preserve">Partially testable in isolation; some paths need the real counterpart.</t>
  </si>
  <si>
    <t xml:space="preserve">Contracts can be fully exercised with stubs, mocks, or simulators.</t>
  </si>
  <si>
    <t xml:space="preserve">4.  Modernisation  —  Can the language and code be brought forward?</t>
  </si>
  <si>
    <t xml:space="preserve">4.1</t>
  </si>
  <si>
    <t xml:space="preserve">Language/framework supported and hireable for</t>
  </si>
  <si>
    <t xml:space="preserve">Language/framework is obsolete; hiring or retaining skills is a known problem.</t>
  </si>
  <si>
    <t xml:space="preserve">Supported but ageing; skills pool is shrinking or expensive.</t>
  </si>
  <si>
    <t xml:space="preserve">Current, actively supported, and readily hireable for.</t>
  </si>
  <si>
    <t xml:space="preserve">4.2</t>
  </si>
  <si>
    <t xml:space="preserve">Codebase structured so change is safe, not feared</t>
  </si>
  <si>
    <t xml:space="preserve">Change is feared; the team avoids touching it where possible.</t>
  </si>
  <si>
    <t xml:space="preserve">Change is possible but slow and carries known risk.</t>
  </si>
  <si>
    <t xml:space="preserve">Change is routine and made with confidence.</t>
  </si>
  <si>
    <t xml:space="preserve">4.3</t>
  </si>
  <si>
    <t xml:space="preserve">Toolchain can still pull current, patched components</t>
  </si>
  <si>
    <t xml:space="preserve">Toolchain is frozen; pulling current or patched dependencies is impossible or breaks the build.</t>
  </si>
  <si>
    <t xml:space="preserve">Toolchain works but is dated; updates are difficult.</t>
  </si>
  <si>
    <t xml:space="preserve">Toolchain is current and pulls patched dependencies cleanly.</t>
  </si>
  <si>
    <t xml:space="preserve">4.4</t>
  </si>
  <si>
    <t xml:space="preserve">Free of dead, unexplained code no one dares remove</t>
  </si>
  <si>
    <t xml:space="preserve">Significant dead or unexplained code that no one will remove.</t>
  </si>
  <si>
    <t xml:space="preserve">Some dead or unclear code, identified but not cleared.</t>
  </si>
  <si>
    <t xml:space="preserve">Codebase is clean; no significant dead or unexplained sections.</t>
  </si>
  <si>
    <t xml:space="preserve">4.5</t>
  </si>
  <si>
    <t xml:space="preserve">A section could be rewritten without reverse-engineering it</t>
  </si>
  <si>
    <t xml:space="preserve">Rewriting any section first requires reverse-engineering what it does.</t>
  </si>
  <si>
    <t xml:space="preserve">Rewritable from a mix of documentation and code reading.</t>
  </si>
  <si>
    <t xml:space="preserve">Behaviour is specified well enough to rewrite directly.</t>
  </si>
  <si>
    <t xml:space="preserve">5.  Embedded IP  —  Is critical bespoke logic buried and unextractable?</t>
  </si>
  <si>
    <t xml:space="preserve">5.1</t>
  </si>
  <si>
    <t xml:space="preserve">Bespoke logic documented to the standard of its complexity</t>
  </si>
  <si>
    <t xml:space="preserve">Critical bespoke logic is undocumented; it exists only as code.</t>
  </si>
  <si>
    <t xml:space="preserve">Partially documented; documentation lags the code or covers only the simple parts.</t>
  </si>
  <si>
    <t xml:space="preserve">Documented proportionate to its complexity and kept current.</t>
  </si>
  <si>
    <t xml:space="preserve">5.2</t>
  </si>
  <si>
    <t xml:space="preserve">Logic isolated and identifiable, not smeared through general code</t>
  </si>
  <si>
    <t xml:space="preserve">Bespoke logic is smeared through the codebase; you cannot point to where it lives.</t>
  </si>
  <si>
    <t xml:space="preserve">Mostly identifiable, with some logic embedded in general-purpose code.</t>
  </si>
  <si>
    <t xml:space="preserve">Isolated, identifiable, and clearly delineated from general-purpose code.</t>
  </si>
  <si>
    <t xml:space="preserve">5.3</t>
  </si>
  <si>
    <t xml:space="preserve">The IP could be re-implemented from its specification</t>
  </si>
  <si>
    <t xml:space="preserve">No specification exists; the code is the only statement of the IP.</t>
  </si>
  <si>
    <t xml:space="preserve">A specification exists but is incomplete or partly out of date.</t>
  </si>
  <si>
    <t xml:space="preserve">A complete, current specification exists independent of the code.</t>
  </si>
  <si>
    <t xml:space="preserve">5.4</t>
  </si>
  <si>
    <t xml:space="preserve">Free of undocumented edge-case handling encoding lost decisions</t>
  </si>
  <si>
    <t xml:space="preserve">Contains undocumented edge-case handling whose rationale is lost.</t>
  </si>
  <si>
    <t xml:space="preserve">Some edge cases undocumented, but rationale is recoverable from people or records.</t>
  </si>
  <si>
    <t xml:space="preserve">Edge cases and their rationale are documented.</t>
  </si>
  <si>
    <t xml:space="preserve">5.5</t>
  </si>
  <si>
    <t xml:space="preserve">The IP can be tested against a known-correct specification</t>
  </si>
  <si>
    <t xml:space="preserve">No way to prove a re-implementation is correct; no reference to test against.</t>
  </si>
  <si>
    <t xml:space="preserve">Partial reference or test set; would prove some but not all behaviour.</t>
  </si>
  <si>
    <t xml:space="preserve">A reference specification or test set exists sufficient to validate a re-implementation.</t>
  </si>
  <si>
    <t xml:space="preserve">6.  Knowledge Transferability  —  Can anyone pick it up and work with it?</t>
  </si>
  <si>
    <t xml:space="preserve">6.1</t>
  </si>
  <si>
    <t xml:space="preserve">Understanding spread across enough people to survive turnover</t>
  </si>
  <si>
    <t xml:space="preserve">Understanding sits with one person; their departure is a single point of failure.</t>
  </si>
  <si>
    <t xml:space="preserve">Understood by a small group; thin but not a single point of failure.</t>
  </si>
  <si>
    <t xml:space="preserve">Understanding is spread across enough people to absorb turnover.</t>
  </si>
  <si>
    <t xml:space="preserve">6.2</t>
  </si>
  <si>
    <t xml:space="preserve">Onboarding possible from documentation, not only the incumbent</t>
  </si>
  <si>
    <t xml:space="preserve">Onboarding is only possible by sitting with the incumbent.</t>
  </si>
  <si>
    <t xml:space="preserve">Documentation gets someone partway; the rest is tribal.</t>
  </si>
  <si>
    <t xml:space="preserve">A capable person can onboard from documentation alone.</t>
  </si>
  <si>
    <t xml:space="preserve">6.3</t>
  </si>
  <si>
    <t xml:space="preserve">Original design decisions and trade-offs recorded</t>
  </si>
  <si>
    <t xml:space="preserve">Only the current state is visible; the 'why' is lost.</t>
  </si>
  <si>
    <t xml:space="preserve">Some rationale recorded; gaps in the decision history.</t>
  </si>
  <si>
    <t xml:space="preserve">Design decisions and trade-offs are recorded and findable.</t>
  </si>
  <si>
    <t xml:space="preserve">6.4</t>
  </si>
  <si>
    <t xml:space="preserve">For cleared/constrained environments, enough eligible people hold the knowledge</t>
  </si>
  <si>
    <t xml:space="preserve">Knowledge is held by too few eligible (cleared/qualified) people to sustain the system.</t>
  </si>
  <si>
    <t xml:space="preserve">Eligible coverage is thin or depends on a small number of constrained individuals.</t>
  </si>
  <si>
    <t xml:space="preserve">Enough eligible people hold the knowledge to sustain and change the system.</t>
  </si>
  <si>
    <t xml:space="preserve">6.5</t>
  </si>
  <si>
    <t xml:space="preserve">Operational knowledge captured as well as build knowledge</t>
  </si>
  <si>
    <t xml:space="preserve">Run, recover and troubleshoot knowledge is uncaptured; it lives only with operators.</t>
  </si>
  <si>
    <t xml:space="preserve">Operational knowledge is partly captured; recovery or edge scenarios are gaps.</t>
  </si>
  <si>
    <t xml:space="preserve">Operational knowledge is captured to the standard of the build knowledge.</t>
  </si>
  <si>
    <t xml:space="preserve">7.  Observability &amp; Testability  —  Can you change it with confidence rather than on faith?</t>
  </si>
  <si>
    <t xml:space="preserve">7.1</t>
  </si>
  <si>
    <t xml:space="preserve">Behaviour and health can be observed in operation</t>
  </si>
  <si>
    <t xml:space="preserve">Effectively a black box in operation; behaviour and health are not visible.</t>
  </si>
  <si>
    <t xml:space="preserve">Partial visibility; gaps in what can be observed.</t>
  </si>
  <si>
    <t xml:space="preserve">Behaviour and health are observable across the component.</t>
  </si>
  <si>
    <t xml:space="preserve">7.2</t>
  </si>
  <si>
    <t xml:space="preserve">Test harness sufficient to catch regressions</t>
  </si>
  <si>
    <t xml:space="preserve">No meaningful test coverage; regressions are found in production or by users.</t>
  </si>
  <si>
    <t xml:space="preserve">Partial coverage; catches some regressions, misses others.</t>
  </si>
  <si>
    <t xml:space="preserve">Test coverage is sufficient to catch regressions before release.</t>
  </si>
  <si>
    <t xml:space="preserve">7.3</t>
  </si>
  <si>
    <t xml:space="preserve">Deploy and rollback are routine, not high-ceremony events</t>
  </si>
  <si>
    <t xml:space="preserve">Deployment is a rare, high-ceremony, high-risk event; rollback is unreliable or absent.</t>
  </si>
  <si>
    <t xml:space="preserve">Deployment is manageable but heavy; rollback is possible but not routine.</t>
  </si>
  <si>
    <t xml:space="preserve">Deploy and rollback are routine, low-drama operations.</t>
  </si>
  <si>
    <t xml:space="preserve">7.4</t>
  </si>
  <si>
    <t xml:space="preserve">A change can be validated in a representative environment</t>
  </si>
  <si>
    <t xml:space="preserve">No representative environment; changes are validated in production.</t>
  </si>
  <si>
    <t xml:space="preserve">A test environment exists but diverges from production in ways that matter.</t>
  </si>
  <si>
    <t xml:space="preserve">A representative environment exists where changes are validated before production.</t>
  </si>
  <si>
    <t xml:space="preserve">7.5</t>
  </si>
  <si>
    <t xml:space="preserve">Accreditation/assurance burden is proportionate enough that change happens</t>
  </si>
  <si>
    <t xml:space="preserve">Assurance burden is so high that change is avoided; the system ossifies regardless of its technical state.</t>
  </si>
  <si>
    <t xml:space="preserve">Burden is significant and slows change, but change still happens.</t>
  </si>
  <si>
    <t xml:space="preserve">Assurance is proportionate and built into the change process; it does not block evolution.</t>
  </si>
  <si>
    <t xml:space="preserve">Component Assessment  —  Component 2</t>
  </si>
  <si>
    <t xml:space="preserve">Component Assessment  —  Component 3</t>
  </si>
  <si>
    <t xml:space="preserve">Component Assessment  —  Component 4</t>
  </si>
  <si>
    <t xml:space="preserve">Component Assessment  —  Component 5</t>
  </si>
  <si>
    <t xml:space="preserve">Anchored Descriptors and Evidence Indicators</t>
  </si>
  <si>
    <t xml:space="preserve">Heading</t>
  </si>
  <si>
    <t xml:space="preserve">Gating</t>
  </si>
  <si>
    <t xml:space="preserve">Score 1 (anchor)</t>
  </si>
  <si>
    <t xml:space="preserve">Score 3 (anchor)</t>
  </si>
  <si>
    <t xml:space="preserve">Score 5 (anchor)</t>
  </si>
  <si>
    <t xml:space="preserve">Evidence indicator</t>
  </si>
  <si>
    <t xml:space="preserve">The component running, or having run, on a second distinct environment; or an architecture record identifying host dependencies and showing they are abstracted. Absence: no second environment can be named and no design record addresses portability — floor.</t>
  </si>
  <si>
    <t xml:space="preserve">A current dependency/version inventory cross-referable to vendor or community support lifecycle dates.</t>
  </si>
  <si>
    <t xml:space="preserve">An architecture record or dependency map showing external service calls and their substitutability, or evidence those interfaces are abstracted.</t>
  </si>
  <si>
    <t xml:space="preserve">Version-controlled infrastructure/config definitions, ideally with a record of the environment having been rebuilt from them.</t>
  </si>
  <si>
    <t xml:space="preserve">Documented data formats and schema, plus a record of a successful standard-tool extract/migration or a defensible assessment that one is possible.</t>
  </si>
  <si>
    <t xml:space="preserve">A design or service record stating what the component does and does not own, recognisable in the actual code structure.</t>
  </si>
  <si>
    <t xml:space="preserve">A build/release record showing it has been released on its own, separate from other components. Absence: every release on record is part of a coordinated multi-component effort — floor.</t>
  </si>
  <si>
    <t xml:space="preserve">Internal structure visible in the codebase, plus change history showing past changes stayed localised.</t>
  </si>
  <si>
    <t xml:space="preserve">A data/interaction map showing what state is shared and how access is mediated; or demonstrable absence of components reaching into each other's internals.</t>
  </si>
  <si>
    <t xml:space="preserve">Defined internal interfaces, ideally with a record of a part having been swapped without rebuilding the boundary.</t>
  </si>
  <si>
    <t xml:space="preserve">Interface definitions or contracts that exist as inspectable artefacts, not descriptions of behaviour after the fact.</t>
  </si>
  <si>
    <t xml:space="preserve">A versioning scheme visible in the interface artefacts, plus history of a version change managed without breaking counterparts.</t>
  </si>
  <si>
    <t xml:space="preserve">Integration endpoints held in external configuration, ideally with a record of one having been re-pointed without a code change. Absence: endpoints are wired into the component and any change requires modifying it — floor.</t>
  </si>
  <si>
    <t xml:space="preserve">Integration design showing explicit sequencing/handling; or demonstrable absence of incident history caused by timing or ordering.</t>
  </si>
  <si>
    <t xml:space="preserve">Stubs, mocks, simulators, or a contract-test suite that exists and is exercisable without the live counterpart.</t>
  </si>
  <si>
    <t xml:space="preserve">Language/framework version cross-referable to a current support lifecycle, plus a defensible view of the skills market. Absence: version unidentified or out of support and skills position unknown — floor.</t>
  </si>
  <si>
    <t xml:space="preserve">Change lead-time and change-failure history; or a code-quality assessment. Team assertion that change is 'fine' is not evidence — the change record is.</t>
  </si>
  <si>
    <t xml:space="preserve">A working build that demonstrably pulls current dependencies; or a recent successful dependency/patch update on record.</t>
  </si>
  <si>
    <t xml:space="preserve">A code analysis identifying dead/unreachable code; or a clean assessment. A claim of cleanliness with no analysis behind it is not evidence.</t>
  </si>
  <si>
    <t xml:space="preserve">Behavioural specifications or documentation sufficient to restate what a section does independently of reading the code.</t>
  </si>
  <si>
    <t xml:space="preserve">Documentation that demonstrably matches current behaviour — ideally validated by someone using it to predict or explain an output correctly. Absence: logic exists only as code, or documentation cannot be shown to be current — floor.</t>
  </si>
  <si>
    <t xml:space="preserve">An assessor or engineer can point to where the bespoke logic lives, distinct from general-purpose code.</t>
  </si>
  <si>
    <t xml:space="preserve">A specification exists as an artefact independent of the code, complete enough that re-implementation would not require reading the code.</t>
  </si>
  <si>
    <t xml:space="preserve">Edge cases and their rationale are recorded; or demonstrable confidence — via people or records — that the rationale behind existing edge-case handling is recoverable.</t>
  </si>
  <si>
    <t xml:space="preserve">A reference specification or test set exists that would let a re-implementation be validated as behaviourally correct.</t>
  </si>
  <si>
    <t xml:space="preserve">More than one person has independently made a non-trivial change; or the component has demonstrably survived a relevant departure. Absence: all evidence points to a single individual — floor.</t>
  </si>
  <si>
    <t xml:space="preserve">A documented instance of someone onboarding from the documentation; or documentation an assessor judges sufficient against that test. Existence of documentation is not the same as it being sufficient.</t>
  </si>
  <si>
    <t xml:space="preserve">Decision records, architecture rationale, or equivalent capturing the 'why', not only the current state.</t>
  </si>
  <si>
    <t xml:space="preserve">A demonstrable count of eligible (cleared/qualified) individuals who hold working knowledge. Score N/A only where no clearance or eligibility constraint genuinely applies — and that exemption must itself be justified.</t>
  </si>
  <si>
    <t xml:space="preserve">Operational runbooks plus demonstration they work — e.g. a recovery actually performed from them, or troubleshooting carried out by someone other than the original operator.</t>
  </si>
  <si>
    <t xml:space="preserve">Live monitoring, logging, or telemetry output that an assessor can actually view. Absence: the component emits nothing inspectable — floor.</t>
  </si>
  <si>
    <t xml:space="preserve">A test suite plus coverage data and a history of it actually catching regressions before release.</t>
  </si>
  <si>
    <t xml:space="preserve">Deployment and rollback logs showing both happening repeatedly without incident. A runbook describing the process is not evidence it is routine.</t>
  </si>
  <si>
    <t xml:space="preserve">A test/staging environment that exists, plus evidence of how closely it matches production and of changes having been validated there.</t>
  </si>
  <si>
    <t xml:space="preserve">The actual elapsed time and cost of recent changes through the assurance process — the demonstrated fact that change still happens. Absence: no change has completed assurance recently enough to judge, or the process cannot be timed — floor, flagged.</t>
  </si>
  <si>
    <t xml:space="preserve">Scores</t>
  </si>
  <si>
    <t xml:space="preserve">Evidence Status</t>
  </si>
  <si>
    <t xml:space="preserve">Dependency Classification</t>
  </si>
  <si>
    <t xml:space="preserve">Trajectory</t>
  </si>
  <si>
    <t xml:space="preserve">Present</t>
  </si>
  <si>
    <t xml:space="preserve">Load-bearing</t>
  </si>
  <si>
    <t xml:space="preserve">Baseline</t>
  </si>
  <si>
    <t xml:space="preserve">Full assessment</t>
  </si>
  <si>
    <t xml:space="preserve">Partial</t>
  </si>
  <si>
    <t xml:space="preserve">Contributing</t>
  </si>
  <si>
    <t xml:space="preserve">Stable</t>
  </si>
  <si>
    <t xml:space="preserve">Light check (12 gating tests)</t>
  </si>
  <si>
    <t xml:space="preserve">Absent</t>
  </si>
  <si>
    <t xml:space="preserve">Peripheral</t>
  </si>
  <si>
    <t xml:space="preserve">Declining</t>
  </si>
  <si>
    <t xml:space="preserve">Improving</t>
  </si>
  <si>
    <t xml:space="preserve">Volatile</t>
  </si>
  <si>
    <t xml:space="preserve">N/A</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</si>
</sst>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1F2A44"/>
      <name val="Arial"/>
      <family val="0"/>
      <charset val="1"/>
    </font>
    <font>
      <sz val="10"/>
      <color rgb="FF000000"/>
      <name val="Arial"/>
      <family val="0"/>
      <charset val="1"/>
    </font>
    <font>
      <b val="true"/>
      <sz val="16"/>
      <color rgb="FFFFFFFF"/>
      <name val="Arial"/>
      <family val="0"/>
      <charset val="1"/>
    </font>
    <font>
      <b val="true"/>
      <sz val="10"/>
      <color rgb="FF1F2A44"/>
      <name val="Arial"/>
      <family val="0"/>
      <charset val="1"/>
    </font>
    <font>
      <b val="true"/>
      <sz val="12"/>
      <color rgb="FFFFFFFF"/>
      <name val="Arial"/>
      <family val="0"/>
      <charset val="1"/>
    </font>
    <font>
      <b val="true"/>
      <sz val="32"/>
      <color rgb="FF000000"/>
      <name val="Arial"/>
      <family val="0"/>
      <charset val="1"/>
    </font>
    <font>
      <b val="true"/>
      <sz val="10"/>
      <color rgb="FFFFFFFF"/>
      <name val="Arial"/>
      <family val="0"/>
      <charset val="1"/>
    </font>
    <font>
      <b val="true"/>
      <sz val="10"/>
      <color rgb="FF000000"/>
      <name val="Arial"/>
      <family val="0"/>
      <charset val="1"/>
    </font>
    <font>
      <b val="true"/>
      <sz val="11"/>
      <color rgb="FFFFFFFF"/>
      <name val="Arial"/>
      <family val="0"/>
      <charset val="1"/>
    </font>
    <font>
      <b val="true"/>
      <sz val="18"/>
      <color rgb="FF000000"/>
      <name val="Arial"/>
      <family val="0"/>
      <charset val="1"/>
    </font>
    <font>
      <sz val="10"/>
      <name val="Arial"/>
      <family val="2"/>
    </font>
  </fonts>
  <fills count="9">
    <fill>
      <patternFill patternType="none"/>
    </fill>
    <fill>
      <patternFill patternType="gray125"/>
    </fill>
    <fill>
      <patternFill patternType="solid">
        <fgColor rgb="FF1F2A44"/>
        <bgColor rgb="FF003366"/>
      </patternFill>
    </fill>
    <fill>
      <patternFill patternType="solid">
        <fgColor rgb="FFE8ECF3"/>
        <bgColor rgb="FFF2F3F5"/>
      </patternFill>
    </fill>
    <fill>
      <patternFill patternType="solid">
        <fgColor rgb="FFFFFFFF"/>
        <bgColor rgb="FFFFFDE7"/>
      </patternFill>
    </fill>
    <fill>
      <patternFill patternType="solid">
        <fgColor rgb="FFF2F3F5"/>
        <bgColor rgb="FFE8ECF3"/>
      </patternFill>
    </fill>
    <fill>
      <patternFill patternType="solid">
        <fgColor rgb="FF4A5163"/>
        <bgColor rgb="FF333399"/>
      </patternFill>
    </fill>
    <fill>
      <patternFill patternType="solid">
        <fgColor rgb="FFFFE0B2"/>
        <bgColor rgb="FFFFCDD2"/>
      </patternFill>
    </fill>
    <fill>
      <patternFill patternType="solid">
        <fgColor rgb="FFFFFDE7"/>
        <bgColor rgb="FFFFFFFF"/>
      </patternFill>
    </fill>
  </fills>
  <borders count="4">
    <border diagonalUp="false" diagonalDown="false">
      <left/>
      <right/>
      <top/>
      <bottom/>
      <diagonal/>
    </border>
    <border diagonalUp="false" diagonalDown="false">
      <left style="thin">
        <color rgb="FF9AA0AE"/>
      </left>
      <right style="thin">
        <color rgb="FF9AA0AE"/>
      </right>
      <top style="thin">
        <color rgb="FF9AA0AE"/>
      </top>
      <bottom style="thin">
        <color rgb="FF9AA0AE"/>
      </bottom>
      <diagonal/>
    </border>
    <border diagonalUp="false" diagonalDown="false">
      <left style="thin">
        <color rgb="FF9AA0AE"/>
      </left>
      <right/>
      <top style="thin">
        <color rgb="FF9AA0AE"/>
      </top>
      <bottom style="thin">
        <color rgb="FF9AA0AE"/>
      </bottom>
      <diagonal/>
    </border>
    <border diagonalUp="false" diagonalDown="false">
      <left style="thin">
        <color rgb="FF9AA0AE"/>
      </left>
      <right/>
      <top style="thin">
        <color rgb="FF9AA0AE"/>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10" fillId="5" borderId="3" xfId="0" applyFont="true" applyBorder="true" applyAlignment="true" applyProtection="false">
      <alignment horizontal="center" vertical="center" textRotation="0" wrapText="true" indent="0" shrinkToFit="false"/>
      <protection locked="true" hidden="false"/>
    </xf>
    <xf numFmtId="164" fontId="6" fillId="5" borderId="3" xfId="0" applyFont="true" applyBorder="true" applyAlignment="true" applyProtection="false">
      <alignment horizontal="center" vertical="center" textRotation="0" wrapText="true" indent="0" shrinkToFit="false"/>
      <protection locked="true" hidden="false"/>
    </xf>
    <xf numFmtId="164" fontId="9" fillId="2" borderId="2"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5" fontId="6" fillId="4" borderId="1" xfId="0" applyFont="true" applyBorder="true" applyAlignment="true" applyProtection="false">
      <alignment horizontal="left" vertical="center"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2" borderId="2"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Arial"/>
        <charset val="1"/>
        <family val="0"/>
        <b val="1"/>
        <color rgb="FF2E7D32"/>
        <sz val="32"/>
      </font>
      <fill>
        <patternFill>
          <bgColor rgb="FFC8E6C9"/>
        </patternFill>
      </fill>
    </dxf>
    <dxf>
      <font>
        <name val="Arial"/>
        <charset val="1"/>
        <family val="0"/>
        <b val="1"/>
        <color rgb="FFE65100"/>
        <sz val="32"/>
      </font>
      <fill>
        <patternFill>
          <bgColor rgb="FFFFE0B2"/>
        </patternFill>
      </fill>
    </dxf>
    <dxf>
      <font>
        <name val="Arial"/>
        <charset val="1"/>
        <family val="0"/>
        <b val="1"/>
        <color rgb="FFB71C1C"/>
        <sz val="32"/>
      </font>
      <fill>
        <patternFill>
          <bgColor rgb="FFFFCDD2"/>
        </patternFill>
      </fill>
    </dxf>
    <dxf>
      <font>
        <name val="Arial"/>
        <charset val="1"/>
        <family val="0"/>
        <b val="1"/>
        <color rgb="FF2E7D32"/>
      </font>
      <fill>
        <patternFill>
          <bgColor rgb="FFC8E6C9"/>
        </patternFill>
      </fill>
    </dxf>
    <dxf>
      <font>
        <name val="Arial"/>
        <charset val="1"/>
        <family val="0"/>
        <b val="1"/>
        <color rgb="FFE65100"/>
      </font>
      <fill>
        <patternFill>
          <bgColor rgb="FFFFE0B2"/>
        </patternFill>
      </fill>
    </dxf>
    <dxf>
      <font>
        <name val="Arial"/>
        <charset val="1"/>
        <family val="0"/>
        <b val="1"/>
        <color rgb="FFB71C1C"/>
      </font>
      <fill>
        <patternFill>
          <bgColor rgb="FFFFCDD2"/>
        </patternFill>
      </fill>
    </dxf>
    <dxf>
      <font>
        <name val="Arial"/>
        <charset val="1"/>
        <family val="0"/>
        <b val="1"/>
        <color rgb="FF1F2A44"/>
      </font>
      <fill>
        <patternFill>
          <bgColor rgb="FFE8ECF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DE7"/>
      <rgbColor rgb="FFE8ECF3"/>
      <rgbColor rgb="FF660066"/>
      <rgbColor rgb="FFFF8080"/>
      <rgbColor rgb="FF0066CC"/>
      <rgbColor rgb="FFFFCDD2"/>
      <rgbColor rgb="FF000080"/>
      <rgbColor rgb="FFFF00FF"/>
      <rgbColor rgb="FFFFFF00"/>
      <rgbColor rgb="FF00FFFF"/>
      <rgbColor rgb="FF800080"/>
      <rgbColor rgb="FF800000"/>
      <rgbColor rgb="FF008080"/>
      <rgbColor rgb="FF0000FF"/>
      <rgbColor rgb="FF00CCFF"/>
      <rgbColor rgb="FFF2F3F5"/>
      <rgbColor rgb="FFC8E6C9"/>
      <rgbColor rgb="FFFFFF99"/>
      <rgbColor rgb="FF99CCFF"/>
      <rgbColor rgb="FFFF99CC"/>
      <rgbColor rgb="FFCC99FF"/>
      <rgbColor rgb="FFFFE0B2"/>
      <rgbColor rgb="FF3366FF"/>
      <rgbColor rgb="FF33CCCC"/>
      <rgbColor rgb="FF99CC00"/>
      <rgbColor rgb="FFFFCC00"/>
      <rgbColor rgb="FFFF9900"/>
      <rgbColor rgb="FFE65100"/>
      <rgbColor rgb="FF4A5163"/>
      <rgbColor rgb="FF9AA0AE"/>
      <rgbColor rgb="FF003366"/>
      <rgbColor rgb="FF2E7D32"/>
      <rgbColor rgb="FF003300"/>
      <rgbColor rgb="FF333300"/>
      <rgbColor rgb="FFB71C1C"/>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90"/>
  </cols>
  <sheetData>
    <row r="1" customFormat="false" ht="31.5" hidden="false" customHeight="true" outlineLevel="0" collapsed="false">
      <c r="A1" s="1" t="s">
        <v>0</v>
      </c>
      <c r="B1" s="1"/>
    </row>
    <row r="3" customFormat="false" ht="21.75" hidden="false" customHeight="true" outlineLevel="0" collapsed="false">
      <c r="A3" s="2" t="s">
        <v>1</v>
      </c>
      <c r="B3" s="2"/>
    </row>
    <row r="4" customFormat="false" ht="63.75" hidden="false" customHeight="true" outlineLevel="0" collapsed="false">
      <c r="B4" s="3" t="s">
        <v>2</v>
      </c>
    </row>
    <row r="5" customFormat="false" ht="21.75" hidden="false" customHeight="true" outlineLevel="0" collapsed="false">
      <c r="A5" s="2" t="s">
        <v>3</v>
      </c>
      <c r="B5" s="2"/>
    </row>
    <row r="6" customFormat="false" ht="18" hidden="false" customHeight="true" outlineLevel="0" collapsed="false">
      <c r="B6" s="3" t="s">
        <v>4</v>
      </c>
    </row>
    <row r="7" customFormat="false" ht="31.5" hidden="false" customHeight="true" outlineLevel="0" collapsed="false">
      <c r="B7" s="3" t="s">
        <v>5</v>
      </c>
    </row>
    <row r="8" customFormat="false" ht="18" hidden="false" customHeight="true" outlineLevel="0" collapsed="false">
      <c r="B8" s="3" t="s">
        <v>6</v>
      </c>
    </row>
    <row r="9" customFormat="false" ht="18" hidden="false" customHeight="true" outlineLevel="0" collapsed="false">
      <c r="B9" s="3" t="s">
        <v>7</v>
      </c>
    </row>
    <row r="10" customFormat="false" ht="18" hidden="false" customHeight="true" outlineLevel="0" collapsed="false">
      <c r="B10" s="3" t="s">
        <v>8</v>
      </c>
    </row>
    <row r="11" customFormat="false" ht="21.75" hidden="false" customHeight="true" outlineLevel="0" collapsed="false">
      <c r="A11" s="2" t="s">
        <v>9</v>
      </c>
      <c r="B11" s="2"/>
    </row>
    <row r="12" customFormat="false" ht="18" hidden="false" customHeight="true" outlineLevel="0" collapsed="false">
      <c r="B12" s="3" t="s">
        <v>10</v>
      </c>
    </row>
    <row r="13" customFormat="false" ht="18" hidden="false" customHeight="true" outlineLevel="0" collapsed="false">
      <c r="B13" s="3" t="s">
        <v>11</v>
      </c>
    </row>
    <row r="14" customFormat="false" ht="18" hidden="false" customHeight="true" outlineLevel="0" collapsed="false">
      <c r="B14" s="3" t="s">
        <v>12</v>
      </c>
    </row>
    <row r="15" customFormat="false" ht="31.5" hidden="false" customHeight="true" outlineLevel="0" collapsed="false">
      <c r="B15" s="3" t="s">
        <v>13</v>
      </c>
    </row>
    <row r="16" customFormat="false" ht="21.75" hidden="false" customHeight="true" outlineLevel="0" collapsed="false">
      <c r="A16" s="2" t="s">
        <v>14</v>
      </c>
      <c r="B16" s="2"/>
    </row>
    <row r="17" customFormat="false" ht="48" hidden="false" customHeight="true" outlineLevel="0" collapsed="false">
      <c r="B17" s="3" t="s">
        <v>15</v>
      </c>
    </row>
    <row r="18" customFormat="false" ht="48" hidden="false" customHeight="true" outlineLevel="0" collapsed="false">
      <c r="B18" s="3" t="s">
        <v>16</v>
      </c>
    </row>
    <row r="19" customFormat="false" ht="21.75" hidden="false" customHeight="true" outlineLevel="0" collapsed="false">
      <c r="A19" s="2" t="s">
        <v>17</v>
      </c>
      <c r="B19" s="2"/>
    </row>
    <row r="20" customFormat="false" ht="63.75" hidden="false" customHeight="true" outlineLevel="0" collapsed="false">
      <c r="B20" s="3" t="s">
        <v>18</v>
      </c>
    </row>
    <row r="21" customFormat="false" ht="21.75" hidden="false" customHeight="true" outlineLevel="0" collapsed="false">
      <c r="A21" s="2" t="s">
        <v>19</v>
      </c>
      <c r="B21" s="2"/>
    </row>
    <row r="22" customFormat="false" ht="31.5" hidden="false" customHeight="true" outlineLevel="0" collapsed="false">
      <c r="B22" s="3" t="s">
        <v>20</v>
      </c>
    </row>
    <row r="23" customFormat="false" ht="48" hidden="false" customHeight="true" outlineLevel="0" collapsed="false">
      <c r="B23" s="3" t="s">
        <v>21</v>
      </c>
    </row>
    <row r="24" customFormat="false" ht="21.75" hidden="false" customHeight="true" outlineLevel="0" collapsed="false">
      <c r="A24" s="2" t="s">
        <v>22</v>
      </c>
      <c r="B24" s="2"/>
    </row>
    <row r="25" customFormat="false" ht="31.5" hidden="false" customHeight="true" outlineLevel="0" collapsed="false">
      <c r="B25" s="3" t="s">
        <v>23</v>
      </c>
    </row>
    <row r="26" customFormat="false" ht="31.5" hidden="false" customHeight="true" outlineLevel="0" collapsed="false">
      <c r="B26" s="3" t="s">
        <v>24</v>
      </c>
    </row>
    <row r="27" customFormat="false" ht="21.75" hidden="false" customHeight="true" outlineLevel="0" collapsed="false">
      <c r="A27" s="2" t="s">
        <v>25</v>
      </c>
      <c r="B27" s="2"/>
    </row>
    <row r="28" customFormat="false" ht="48" hidden="false" customHeight="true" outlineLevel="0" collapsed="false">
      <c r="B28" s="3" t="s">
        <v>26</v>
      </c>
    </row>
  </sheetData>
  <mergeCells count="9">
    <mergeCell ref="A1:B1"/>
    <mergeCell ref="A3:B3"/>
    <mergeCell ref="A5:B5"/>
    <mergeCell ref="A11:B11"/>
    <mergeCell ref="A16:B16"/>
    <mergeCell ref="A19:B19"/>
    <mergeCell ref="A21:B21"/>
    <mergeCell ref="A24:B24"/>
    <mergeCell ref="A27:B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18"/>
    <col collapsed="false" customWidth="true" hidden="false" outlineLevel="0" max="10" min="4" style="0" width="14"/>
    <col collapsed="false" customWidth="true" hidden="false" outlineLevel="0" max="11" min="11" style="0" width="30"/>
    <col collapsed="false" customWidth="true" hidden="true" outlineLevel="0" max="13" min="13" style="0" width="13"/>
  </cols>
  <sheetData>
    <row r="1" customFormat="false" ht="36" hidden="false" customHeight="true" outlineLevel="0" collapsed="false">
      <c r="A1" s="4" t="s">
        <v>27</v>
      </c>
      <c r="B1" s="4"/>
      <c r="C1" s="4"/>
      <c r="D1" s="4"/>
      <c r="E1" s="4"/>
      <c r="F1" s="4"/>
      <c r="G1" s="4"/>
      <c r="H1" s="4"/>
      <c r="I1" s="4"/>
      <c r="J1" s="4"/>
      <c r="K1" s="4"/>
    </row>
    <row r="3" customFormat="false" ht="31.5" hidden="false" customHeight="true" outlineLevel="0" collapsed="false">
      <c r="A3" s="5" t="s">
        <v>28</v>
      </c>
      <c r="B3" s="6"/>
      <c r="C3" s="6"/>
      <c r="D3" s="6"/>
      <c r="E3" s="6"/>
      <c r="G3" s="7" t="s">
        <v>29</v>
      </c>
      <c r="H3" s="7"/>
      <c r="I3" s="8" t="s">
        <v>30</v>
      </c>
      <c r="J3" s="8"/>
      <c r="K3" s="8"/>
    </row>
    <row r="4" customFormat="false" ht="30" hidden="false" customHeight="true" outlineLevel="0" collapsed="false">
      <c r="A4" s="5" t="s">
        <v>31</v>
      </c>
      <c r="B4" s="6"/>
      <c r="C4" s="6"/>
      <c r="D4" s="6"/>
      <c r="E4" s="6"/>
      <c r="G4" s="9" t="str">
        <f aca="false">IF(COUNTIFS(C15:C19,"Load-bearing",K15:K19,"RED")&gt;0,"RED",IF(COUNTIFS(C15:C19,"Load-bearing",K15:K19,"AMBER")&gt;0,"AMBER",IF(COUNTIFS(C15:C19,"Load-bearing",K15:K19,"GREEN")&gt;0,"GREEN","—")))</f>
        <v>—</v>
      </c>
      <c r="H4" s="9"/>
      <c r="I4" s="10" t="str">
        <f aca="false">IF(MAX(M15:M19)=0,"—",INDEX(A15:A19,MATCH(MAX(M15:M19),M15:M19,0)))</f>
        <v>—</v>
      </c>
      <c r="J4" s="10"/>
      <c r="K4" s="10"/>
    </row>
    <row r="5" customFormat="false" ht="19.5" hidden="false" customHeight="true" outlineLevel="0" collapsed="false">
      <c r="A5" s="5" t="s">
        <v>32</v>
      </c>
      <c r="B5" s="6"/>
      <c r="C5" s="6"/>
      <c r="D5" s="6"/>
      <c r="E5" s="6"/>
      <c r="G5" s="9"/>
      <c r="H5" s="9"/>
      <c r="I5" s="10"/>
      <c r="J5" s="10"/>
      <c r="K5" s="10"/>
    </row>
    <row r="6" customFormat="false" ht="19.5" hidden="false" customHeight="true" outlineLevel="0" collapsed="false">
      <c r="A6" s="5" t="s">
        <v>33</v>
      </c>
      <c r="B6" s="6"/>
      <c r="C6" s="6"/>
      <c r="D6" s="6"/>
      <c r="E6" s="6"/>
      <c r="G6" s="9"/>
      <c r="H6" s="9"/>
      <c r="I6" s="10"/>
      <c r="J6" s="10"/>
      <c r="K6" s="10"/>
    </row>
    <row r="7" customFormat="false" ht="19.5" hidden="false" customHeight="true" outlineLevel="0" collapsed="false">
      <c r="A7" s="5" t="s">
        <v>34</v>
      </c>
      <c r="B7" s="6"/>
      <c r="C7" s="6"/>
      <c r="D7" s="6"/>
      <c r="E7" s="6"/>
      <c r="G7" s="9"/>
      <c r="H7" s="9"/>
      <c r="I7" s="10"/>
      <c r="J7" s="10"/>
      <c r="K7" s="10"/>
    </row>
    <row r="8" customFormat="false" ht="19.5" hidden="false" customHeight="true" outlineLevel="0" collapsed="false">
      <c r="A8" s="5" t="s">
        <v>35</v>
      </c>
      <c r="B8" s="6"/>
      <c r="C8" s="6"/>
      <c r="D8" s="6"/>
      <c r="E8" s="6"/>
      <c r="G8" s="9"/>
      <c r="H8" s="9"/>
      <c r="I8" s="10"/>
      <c r="J8" s="10"/>
      <c r="K8" s="10"/>
    </row>
    <row r="9" customFormat="false" ht="19.5" hidden="false" customHeight="true" outlineLevel="0" collapsed="false">
      <c r="A9" s="5" t="s">
        <v>36</v>
      </c>
      <c r="B9" s="6"/>
      <c r="C9" s="6"/>
      <c r="D9" s="6"/>
      <c r="E9" s="6"/>
      <c r="G9" s="9"/>
      <c r="H9" s="9"/>
      <c r="I9" s="10"/>
      <c r="J9" s="10"/>
      <c r="K9" s="10"/>
    </row>
    <row r="10" customFormat="false" ht="19.5" hidden="false" customHeight="true" outlineLevel="0" collapsed="false">
      <c r="A10" s="5" t="s">
        <v>37</v>
      </c>
      <c r="B10" s="6"/>
      <c r="C10" s="6"/>
      <c r="D10" s="6"/>
      <c r="E10" s="6"/>
      <c r="G10" s="9"/>
      <c r="H10" s="9"/>
      <c r="I10" s="10"/>
      <c r="J10" s="10"/>
      <c r="K10" s="10"/>
    </row>
    <row r="11" customFormat="false" ht="19.5" hidden="false" customHeight="true" outlineLevel="0" collapsed="false">
      <c r="A11" s="5" t="s">
        <v>38</v>
      </c>
      <c r="B11" s="6"/>
      <c r="C11" s="6"/>
      <c r="D11" s="6"/>
      <c r="E11" s="6"/>
    </row>
    <row r="13" customFormat="false" ht="24" hidden="false" customHeight="true" outlineLevel="0" collapsed="false">
      <c r="A13" s="11" t="s">
        <v>39</v>
      </c>
      <c r="B13" s="11"/>
      <c r="C13" s="11"/>
      <c r="D13" s="11"/>
      <c r="E13" s="11"/>
      <c r="F13" s="11"/>
      <c r="G13" s="11"/>
      <c r="H13" s="11"/>
      <c r="I13" s="11"/>
      <c r="J13" s="11"/>
      <c r="K13" s="11"/>
    </row>
    <row r="14" customFormat="false" ht="36" hidden="false" customHeight="true" outlineLevel="0" collapsed="false">
      <c r="A14" s="12" t="s">
        <v>40</v>
      </c>
      <c r="B14" s="12" t="s">
        <v>41</v>
      </c>
      <c r="C14" s="12" t="s">
        <v>42</v>
      </c>
      <c r="D14" s="12" t="s">
        <v>43</v>
      </c>
      <c r="E14" s="12" t="s">
        <v>44</v>
      </c>
      <c r="F14" s="12" t="s">
        <v>45</v>
      </c>
      <c r="G14" s="12" t="s">
        <v>46</v>
      </c>
      <c r="H14" s="12" t="s">
        <v>47</v>
      </c>
      <c r="I14" s="12" t="s">
        <v>48</v>
      </c>
      <c r="J14" s="12" t="s">
        <v>49</v>
      </c>
      <c r="K14" s="12" t="s">
        <v>50</v>
      </c>
      <c r="M14" s="13" t="s">
        <v>51</v>
      </c>
    </row>
    <row r="15" customFormat="false" ht="21.75" hidden="false" customHeight="true" outlineLevel="0" collapsed="false">
      <c r="A15" s="14" t="n">
        <f aca="false">'Component 1'!B3</f>
        <v>0</v>
      </c>
      <c r="B15" s="14" t="s">
        <v>52</v>
      </c>
      <c r="C15" s="15" t="n">
        <f aca="false">'Component 1'!B9</f>
        <v>0</v>
      </c>
      <c r="D15" s="16" t="str">
        <f aca="false">'Component 1'!J6</f>
        <v>—</v>
      </c>
      <c r="E15" s="16" t="str">
        <f aca="false">'Component 1'!J7</f>
        <v>—</v>
      </c>
      <c r="F15" s="16" t="str">
        <f aca="false">'Component 1'!J8</f>
        <v>—</v>
      </c>
      <c r="G15" s="16" t="str">
        <f aca="false">'Component 1'!J9</f>
        <v>—</v>
      </c>
      <c r="H15" s="16" t="str">
        <f aca="false">'Component 1'!J10</f>
        <v>—</v>
      </c>
      <c r="I15" s="16" t="str">
        <f aca="false">'Component 1'!J11</f>
        <v>—</v>
      </c>
      <c r="J15" s="16" t="str">
        <f aca="false">'Component 1'!J12</f>
        <v>—</v>
      </c>
      <c r="K15" s="17" t="str">
        <f aca="false">'Component 1'!H3</f>
        <v>—</v>
      </c>
      <c r="M15" s="18" t="n">
        <f aca="false">IF(C15="Load-bearing",IF(K15="RED",10,IF(K15="AMBER",5,IF(K15="GREEN",1,0))),0)</f>
        <v>0</v>
      </c>
    </row>
    <row r="16" customFormat="false" ht="21.75" hidden="false" customHeight="true" outlineLevel="0" collapsed="false">
      <c r="A16" s="19" t="n">
        <f aca="false">'Component 2'!B3</f>
        <v>0</v>
      </c>
      <c r="B16" s="19" t="s">
        <v>53</v>
      </c>
      <c r="C16" s="18" t="n">
        <f aca="false">'Component 2'!B9</f>
        <v>0</v>
      </c>
      <c r="D16" s="20" t="str">
        <f aca="false">'Component 2'!J6</f>
        <v>—</v>
      </c>
      <c r="E16" s="20" t="str">
        <f aca="false">'Component 2'!J7</f>
        <v>—</v>
      </c>
      <c r="F16" s="20" t="str">
        <f aca="false">'Component 2'!J8</f>
        <v>—</v>
      </c>
      <c r="G16" s="20" t="str">
        <f aca="false">'Component 2'!J9</f>
        <v>—</v>
      </c>
      <c r="H16" s="20" t="str">
        <f aca="false">'Component 2'!J10</f>
        <v>—</v>
      </c>
      <c r="I16" s="20" t="str">
        <f aca="false">'Component 2'!J11</f>
        <v>—</v>
      </c>
      <c r="J16" s="20" t="str">
        <f aca="false">'Component 2'!J12</f>
        <v>—</v>
      </c>
      <c r="K16" s="21" t="str">
        <f aca="false">'Component 2'!H3</f>
        <v>—</v>
      </c>
      <c r="M16" s="18" t="n">
        <f aca="false">IF(C16="Load-bearing",IF(K16="RED",10,IF(K16="AMBER",5,IF(K16="GREEN",1,0))),0)</f>
        <v>0</v>
      </c>
    </row>
    <row r="17" customFormat="false" ht="21.75" hidden="false" customHeight="true" outlineLevel="0" collapsed="false">
      <c r="A17" s="14" t="n">
        <f aca="false">'Component 3'!B3</f>
        <v>0</v>
      </c>
      <c r="B17" s="14" t="s">
        <v>54</v>
      </c>
      <c r="C17" s="15" t="n">
        <f aca="false">'Component 3'!B9</f>
        <v>0</v>
      </c>
      <c r="D17" s="16" t="str">
        <f aca="false">'Component 3'!J6</f>
        <v>—</v>
      </c>
      <c r="E17" s="16" t="str">
        <f aca="false">'Component 3'!J7</f>
        <v>—</v>
      </c>
      <c r="F17" s="16" t="str">
        <f aca="false">'Component 3'!J8</f>
        <v>—</v>
      </c>
      <c r="G17" s="16" t="str">
        <f aca="false">'Component 3'!J9</f>
        <v>—</v>
      </c>
      <c r="H17" s="16" t="str">
        <f aca="false">'Component 3'!J10</f>
        <v>—</v>
      </c>
      <c r="I17" s="16" t="str">
        <f aca="false">'Component 3'!J11</f>
        <v>—</v>
      </c>
      <c r="J17" s="16" t="str">
        <f aca="false">'Component 3'!J12</f>
        <v>—</v>
      </c>
      <c r="K17" s="17" t="str">
        <f aca="false">'Component 3'!H3</f>
        <v>—</v>
      </c>
      <c r="M17" s="18" t="n">
        <f aca="false">IF(C17="Load-bearing",IF(K17="RED",10,IF(K17="AMBER",5,IF(K17="GREEN",1,0))),0)</f>
        <v>0</v>
      </c>
    </row>
    <row r="18" customFormat="false" ht="21.75" hidden="false" customHeight="true" outlineLevel="0" collapsed="false">
      <c r="A18" s="19" t="n">
        <f aca="false">'Component 4'!B3</f>
        <v>0</v>
      </c>
      <c r="B18" s="19" t="s">
        <v>55</v>
      </c>
      <c r="C18" s="18" t="n">
        <f aca="false">'Component 4'!B9</f>
        <v>0</v>
      </c>
      <c r="D18" s="20" t="str">
        <f aca="false">'Component 4'!J6</f>
        <v>—</v>
      </c>
      <c r="E18" s="20" t="str">
        <f aca="false">'Component 4'!J7</f>
        <v>—</v>
      </c>
      <c r="F18" s="20" t="str">
        <f aca="false">'Component 4'!J8</f>
        <v>—</v>
      </c>
      <c r="G18" s="20" t="str">
        <f aca="false">'Component 4'!J9</f>
        <v>—</v>
      </c>
      <c r="H18" s="20" t="str">
        <f aca="false">'Component 4'!J10</f>
        <v>—</v>
      </c>
      <c r="I18" s="20" t="str">
        <f aca="false">'Component 4'!J11</f>
        <v>—</v>
      </c>
      <c r="J18" s="20" t="str">
        <f aca="false">'Component 4'!J12</f>
        <v>—</v>
      </c>
      <c r="K18" s="21" t="str">
        <f aca="false">'Component 4'!H3</f>
        <v>—</v>
      </c>
      <c r="M18" s="18" t="n">
        <f aca="false">IF(C18="Load-bearing",IF(K18="RED",10,IF(K18="AMBER",5,IF(K18="GREEN",1,0))),0)</f>
        <v>0</v>
      </c>
    </row>
    <row r="19" customFormat="false" ht="21.75" hidden="false" customHeight="true" outlineLevel="0" collapsed="false">
      <c r="A19" s="14" t="n">
        <f aca="false">'Component 5'!B3</f>
        <v>0</v>
      </c>
      <c r="B19" s="14" t="s">
        <v>56</v>
      </c>
      <c r="C19" s="15" t="n">
        <f aca="false">'Component 5'!B9</f>
        <v>0</v>
      </c>
      <c r="D19" s="16" t="str">
        <f aca="false">'Component 5'!J6</f>
        <v>—</v>
      </c>
      <c r="E19" s="16" t="str">
        <f aca="false">'Component 5'!J7</f>
        <v>—</v>
      </c>
      <c r="F19" s="16" t="str">
        <f aca="false">'Component 5'!J8</f>
        <v>—</v>
      </c>
      <c r="G19" s="16" t="str">
        <f aca="false">'Component 5'!J9</f>
        <v>—</v>
      </c>
      <c r="H19" s="16" t="str">
        <f aca="false">'Component 5'!J10</f>
        <v>—</v>
      </c>
      <c r="I19" s="16" t="str">
        <f aca="false">'Component 5'!J11</f>
        <v>—</v>
      </c>
      <c r="J19" s="16" t="str">
        <f aca="false">'Component 5'!J12</f>
        <v>—</v>
      </c>
      <c r="K19" s="17" t="str">
        <f aca="false">'Component 5'!H3</f>
        <v>—</v>
      </c>
      <c r="M19" s="18" t="n">
        <f aca="false">IF(C19="Load-bearing",IF(K19="RED",10,IF(K19="AMBER",5,IF(K19="GREEN",1,0))),0)</f>
        <v>0</v>
      </c>
    </row>
    <row r="21" customFormat="false" ht="21.75" hidden="false" customHeight="true" outlineLevel="0" collapsed="false">
      <c r="A21" s="22" t="s">
        <v>57</v>
      </c>
      <c r="B21" s="22"/>
      <c r="C21" s="22"/>
      <c r="D21" s="22"/>
      <c r="E21" s="22"/>
      <c r="F21" s="22"/>
      <c r="G21" s="22"/>
      <c r="H21" s="22"/>
      <c r="I21" s="22"/>
      <c r="J21" s="22"/>
      <c r="K21" s="22"/>
    </row>
    <row r="22" customFormat="false" ht="60" hidden="false" customHeight="true" outlineLevel="0" collapsed="false">
      <c r="A22" s="23" t="s">
        <v>58</v>
      </c>
      <c r="B22" s="23"/>
      <c r="C22" s="23"/>
      <c r="D22" s="23"/>
      <c r="E22" s="23"/>
      <c r="F22" s="23"/>
      <c r="G22" s="23"/>
      <c r="H22" s="23"/>
      <c r="I22" s="23"/>
      <c r="J22" s="23"/>
      <c r="K22" s="23"/>
    </row>
  </sheetData>
  <mergeCells count="17">
    <mergeCell ref="A1:K1"/>
    <mergeCell ref="B3:E3"/>
    <mergeCell ref="G3:H3"/>
    <mergeCell ref="I3:K3"/>
    <mergeCell ref="B4:E4"/>
    <mergeCell ref="G4:H10"/>
    <mergeCell ref="I4:K10"/>
    <mergeCell ref="B5:E5"/>
    <mergeCell ref="B6:E6"/>
    <mergeCell ref="B7:E7"/>
    <mergeCell ref="B8:E8"/>
    <mergeCell ref="B9:E9"/>
    <mergeCell ref="B10:E10"/>
    <mergeCell ref="B11:E11"/>
    <mergeCell ref="A13:K13"/>
    <mergeCell ref="A21:K21"/>
    <mergeCell ref="A22:K22"/>
  </mergeCells>
  <conditionalFormatting sqref="G4">
    <cfRule type="cellIs" priority="2" operator="equal" aboveAverage="0" equalAverage="0" bottom="0" percent="0" rank="0" text="" dxfId="0">
      <formula>"GREEN"</formula>
    </cfRule>
    <cfRule type="cellIs" priority="3" operator="equal" aboveAverage="0" equalAverage="0" bottom="0" percent="0" rank="0" text="" dxfId="1">
      <formula>"AMBER"</formula>
    </cfRule>
    <cfRule type="cellIs" priority="4" operator="equal" aboveAverage="0" equalAverage="0" bottom="0" percent="0" rank="0" text="" dxfId="2">
      <formula>"RED"</formula>
    </cfRule>
  </conditionalFormatting>
  <conditionalFormatting sqref="D15:K19">
    <cfRule type="cellIs" priority="5" operator="equal" aboveAverage="0" equalAverage="0" bottom="0" percent="0" rank="0" text="" dxfId="3">
      <formula>"GREEN"</formula>
    </cfRule>
    <cfRule type="cellIs" priority="6" operator="equal" aboveAverage="0" equalAverage="0" bottom="0" percent="0" rank="0" text="" dxfId="4">
      <formula>"AMBER"</formula>
    </cfRule>
    <cfRule type="cellIs" priority="7" operator="equal" aboveAverage="0" equalAverage="0" bottom="0" percent="0" rank="0" text="" dxfId="5">
      <formula>"RED"</formula>
    </cfRule>
  </conditionalFormatting>
  <conditionalFormatting sqref="C15:C19">
    <cfRule type="cellIs" priority="8" operator="equal" aboveAverage="0" equalAverage="0" bottom="0" percent="0" rank="0" text="" dxfId="6">
      <formula>"Load-bearing"</formula>
    </cfRule>
  </conditionalFormatting>
  <dataValidations count="1">
    <dataValidation allowBlank="true" errorStyle="stop" operator="between" showDropDown="false" showErrorMessage="false" showInputMessage="false" sqref="C15:C19" type="list">
      <formula1>DepClassList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5"/>
    <col collapsed="false" customWidth="true" hidden="false" outlineLevel="0" max="4" min="4" style="0" width="9"/>
    <col collapsed="false" customWidth="true" hidden="false" outlineLevel="0" max="7" min="5" style="0" width="30"/>
    <col collapsed="false" customWidth="true" hidden="false" outlineLevel="0" max="8" min="8" style="0" width="14"/>
    <col collapsed="false" customWidth="true" hidden="false" outlineLevel="0" max="9" min="9" style="0" width="42"/>
    <col collapsed="false" customWidth="true" hidden="false" outlineLevel="0" max="10" min="10" style="0" width="18"/>
    <col collapsed="false" customWidth="true" hidden="true" outlineLevel="0" max="15" min="12" style="0" width="13"/>
  </cols>
  <sheetData>
    <row r="1" customFormat="false" ht="30" hidden="false" customHeight="true" outlineLevel="0" collapsed="false">
      <c r="A1" s="1" t="s">
        <v>59</v>
      </c>
      <c r="B1" s="1"/>
      <c r="C1" s="1"/>
      <c r="D1" s="1"/>
      <c r="E1" s="1"/>
      <c r="F1" s="1"/>
      <c r="G1" s="1"/>
      <c r="H1" s="1"/>
      <c r="I1" s="1"/>
      <c r="J1" s="1"/>
    </row>
    <row r="3" customFormat="false" ht="27.75" hidden="false" customHeight="true" outlineLevel="0" collapsed="false">
      <c r="A3" s="5" t="s">
        <v>40</v>
      </c>
      <c r="B3" s="6"/>
      <c r="C3" s="6"/>
      <c r="D3" s="6"/>
      <c r="F3" s="24" t="s">
        <v>50</v>
      </c>
      <c r="G3" s="24"/>
      <c r="H3" s="25" t="str">
        <f aca="false">IF(COUNTIF(J6:J12,"RED")&gt;0,"RED",IF(COUNTIF(J6:J12,"AMBER")&gt;0,"AMBER",IF(COUNTIF(J6:J12,"GREEN")&gt;0,"GREEN","—")))</f>
        <v>—</v>
      </c>
      <c r="I3" s="25"/>
      <c r="J3" s="25"/>
    </row>
    <row r="4" customFormat="false" ht="19.5" hidden="false" customHeight="true" outlineLevel="0" collapsed="false">
      <c r="A4" s="5" t="s">
        <v>60</v>
      </c>
      <c r="B4" s="6"/>
      <c r="C4" s="6"/>
      <c r="D4" s="6"/>
      <c r="F4" s="8" t="s">
        <v>61</v>
      </c>
      <c r="G4" s="8"/>
      <c r="H4" s="26" t="str">
        <f aca="false">IF(COUNTIF(J6:J12,"RED")&gt;0,INDEX(F6:F12,MATCH("RED",J6:J12,0)),IF(COUNTIF(J6:J12,"AMBER")&gt;0,INDEX(F6:F12,MATCH("AMBER",J6:J12,0)),IF(COUNTIF(J6:J12,"GREEN")&gt;0,INDEX(F6:F12,MATCH("GREEN",J6:J12,0)),"—")))</f>
        <v>—</v>
      </c>
      <c r="I4" s="26"/>
      <c r="J4" s="26"/>
    </row>
    <row r="5" customFormat="false" ht="19.5" hidden="false" customHeight="true" outlineLevel="0" collapsed="false">
      <c r="A5" s="5" t="s">
        <v>62</v>
      </c>
      <c r="B5" s="6"/>
      <c r="C5" s="6"/>
      <c r="D5" s="6"/>
      <c r="F5" s="8" t="s">
        <v>63</v>
      </c>
      <c r="G5" s="8"/>
      <c r="H5" s="8"/>
      <c r="I5" s="8"/>
      <c r="J5" s="8"/>
    </row>
    <row r="6" customFormat="false" ht="18" hidden="false" customHeight="true" outlineLevel="0" collapsed="false">
      <c r="A6" s="5" t="s">
        <v>64</v>
      </c>
      <c r="B6" s="6"/>
      <c r="C6" s="6"/>
      <c r="D6" s="6"/>
      <c r="F6" s="27" t="s">
        <v>65</v>
      </c>
      <c r="G6" s="27"/>
      <c r="H6" s="27"/>
      <c r="I6" s="28" t="str">
        <f aca="false">IFERROR(ROUND(M15,2),"")</f>
        <v/>
      </c>
      <c r="J6" s="29" t="str">
        <f aca="false">O15</f>
        <v>—</v>
      </c>
    </row>
    <row r="7" customFormat="false" ht="18" hidden="false" customHeight="true" outlineLevel="0" collapsed="false">
      <c r="A7" s="5" t="s">
        <v>66</v>
      </c>
      <c r="B7" s="6"/>
      <c r="C7" s="6"/>
      <c r="D7" s="6"/>
      <c r="F7" s="27" t="s">
        <v>67</v>
      </c>
      <c r="G7" s="27"/>
      <c r="H7" s="27"/>
      <c r="I7" s="28" t="str">
        <f aca="false">IFERROR(ROUND(M16,2),"")</f>
        <v/>
      </c>
      <c r="J7" s="29" t="str">
        <f aca="false">O16</f>
        <v>—</v>
      </c>
    </row>
    <row r="8" customFormat="false" ht="18" hidden="false" customHeight="true" outlineLevel="0" collapsed="false">
      <c r="A8" s="5" t="s">
        <v>35</v>
      </c>
      <c r="B8" s="6"/>
      <c r="C8" s="6"/>
      <c r="D8" s="6"/>
      <c r="F8" s="27" t="s">
        <v>68</v>
      </c>
      <c r="G8" s="27"/>
      <c r="H8" s="27"/>
      <c r="I8" s="28" t="str">
        <f aca="false">IFERROR(ROUND(M17,2),"")</f>
        <v/>
      </c>
      <c r="J8" s="29" t="str">
        <f aca="false">O17</f>
        <v>—</v>
      </c>
    </row>
    <row r="9" customFormat="false" ht="18" hidden="false" customHeight="true" outlineLevel="0" collapsed="false">
      <c r="A9" s="5" t="s">
        <v>69</v>
      </c>
      <c r="B9" s="6"/>
      <c r="C9" s="6"/>
      <c r="D9" s="6"/>
      <c r="F9" s="27" t="s">
        <v>70</v>
      </c>
      <c r="G9" s="27"/>
      <c r="H9" s="27"/>
      <c r="I9" s="28" t="str">
        <f aca="false">IFERROR(ROUND(M18,2),"")</f>
        <v/>
      </c>
      <c r="J9" s="29" t="str">
        <f aca="false">O18</f>
        <v>—</v>
      </c>
    </row>
    <row r="10" customFormat="false" ht="18" hidden="false" customHeight="true" outlineLevel="0" collapsed="false">
      <c r="A10" s="5" t="s">
        <v>71</v>
      </c>
      <c r="B10" s="6"/>
      <c r="C10" s="6"/>
      <c r="D10" s="6"/>
      <c r="F10" s="27" t="s">
        <v>72</v>
      </c>
      <c r="G10" s="27"/>
      <c r="H10" s="27"/>
      <c r="I10" s="28" t="str">
        <f aca="false">IFERROR(ROUND(M19,2),"")</f>
        <v/>
      </c>
      <c r="J10" s="29" t="str">
        <f aca="false">O19</f>
        <v>—</v>
      </c>
    </row>
    <row r="11" customFormat="false" ht="18" hidden="false" customHeight="true" outlineLevel="0" collapsed="false">
      <c r="A11" s="5" t="s">
        <v>73</v>
      </c>
      <c r="B11" s="6"/>
      <c r="C11" s="6"/>
      <c r="D11" s="6"/>
      <c r="F11" s="27" t="s">
        <v>74</v>
      </c>
      <c r="G11" s="27"/>
      <c r="H11" s="27"/>
      <c r="I11" s="28" t="str">
        <f aca="false">IFERROR(ROUND(M20,2),"")</f>
        <v/>
      </c>
      <c r="J11" s="29" t="str">
        <f aca="false">O20</f>
        <v>—</v>
      </c>
    </row>
    <row r="12" customFormat="false" ht="18" hidden="false" customHeight="true" outlineLevel="0" collapsed="false">
      <c r="A12" s="5" t="s">
        <v>75</v>
      </c>
      <c r="B12" s="6"/>
      <c r="C12" s="6"/>
      <c r="D12" s="6"/>
      <c r="F12" s="27" t="s">
        <v>76</v>
      </c>
      <c r="G12" s="27"/>
      <c r="H12" s="27"/>
      <c r="I12" s="28" t="str">
        <f aca="false">IFERROR(ROUND(M21,2),"")</f>
        <v/>
      </c>
      <c r="J12" s="29" t="str">
        <f aca="false">O21</f>
        <v>—</v>
      </c>
    </row>
    <row r="13" customFormat="false" ht="7.5" hidden="false" customHeight="true" outlineLevel="0" collapsed="false"/>
    <row r="14" customFormat="false" ht="30" hidden="false" customHeight="true" outlineLevel="0" collapsed="false">
      <c r="A14" s="12" t="s">
        <v>77</v>
      </c>
      <c r="B14" s="12" t="s">
        <v>78</v>
      </c>
      <c r="C14" s="12" t="s">
        <v>79</v>
      </c>
      <c r="D14" s="12" t="s">
        <v>80</v>
      </c>
      <c r="E14" s="12" t="s">
        <v>81</v>
      </c>
      <c r="F14" s="12" t="s">
        <v>82</v>
      </c>
      <c r="G14" s="12" t="s">
        <v>83</v>
      </c>
      <c r="H14" s="12" t="s">
        <v>84</v>
      </c>
      <c r="I14" s="12" t="s">
        <v>85</v>
      </c>
      <c r="J14" s="12" t="s">
        <v>86</v>
      </c>
      <c r="L14" s="13" t="s">
        <v>87</v>
      </c>
      <c r="M14" s="13" t="s">
        <v>88</v>
      </c>
      <c r="N14" s="13" t="s">
        <v>89</v>
      </c>
      <c r="O14" s="13" t="s">
        <v>90</v>
      </c>
    </row>
    <row r="15" customFormat="false" ht="21.75" hidden="false" customHeight="true" outlineLevel="0" collapsed="false">
      <c r="A15" s="22" t="s">
        <v>91</v>
      </c>
      <c r="B15" s="22"/>
      <c r="C15" s="22"/>
      <c r="D15" s="22"/>
      <c r="E15" s="22"/>
      <c r="F15" s="22"/>
      <c r="G15" s="22"/>
      <c r="H15" s="22"/>
      <c r="I15" s="22"/>
      <c r="J15" s="22"/>
      <c r="L15" s="18" t="n">
        <v>1</v>
      </c>
      <c r="M15" s="18" t="str">
        <f aca="false">IF(SUMPRODUCT((C16:C20&lt;&gt;"G")*ISNUMBER(D16:D20))=0,"",SUMPRODUCT((C16:C20&lt;&gt;"G")*ISNUMBER(D16:D20)*D16:D20)/SUMPRODUCT((C16:C20&lt;&gt;"G")*ISNUMBER(D16:D20)))</f>
        <v/>
      </c>
      <c r="N15" s="18" t="str">
        <f aca="false">IF(MIN(IF(ISNUMBER(D16),D16,999))=999,"",MIN(IF(ISNUMBER(D16),D16,999)))</f>
        <v/>
      </c>
      <c r="O15" s="18" t="str">
        <f aca="false">IF(M15="","—",IF(AND(ISNUMBER(N15),N15&lt;=2),"RED",IF(M15&gt;=4,"GREEN",IF(M15&gt;=2.5,"AMBER","RED"))))</f>
        <v>—</v>
      </c>
    </row>
    <row r="16" customFormat="false" ht="55.5" hidden="false" customHeight="true" outlineLevel="0" collapsed="false">
      <c r="A16" s="16" t="s">
        <v>92</v>
      </c>
      <c r="B16" s="14" t="s">
        <v>93</v>
      </c>
      <c r="C16" s="30" t="s">
        <v>79</v>
      </c>
      <c r="D16" s="31"/>
      <c r="E16" s="19" t="s">
        <v>94</v>
      </c>
      <c r="F16" s="19" t="s">
        <v>95</v>
      </c>
      <c r="G16" s="19" t="s">
        <v>96</v>
      </c>
      <c r="H16" s="16"/>
      <c r="I16" s="14"/>
      <c r="J16" s="14"/>
      <c r="L16" s="18" t="n">
        <v>2</v>
      </c>
      <c r="M16" s="18" t="str">
        <f aca="false">IF(SUMPRODUCT((C22:C26&lt;&gt;"G")*ISNUMBER(D22:D26))=0,"",SUMPRODUCT((C22:C26&lt;&gt;"G")*ISNUMBER(D22:D26)*D22:D26)/SUMPRODUCT((C22:C26&lt;&gt;"G")*ISNUMBER(D22:D26)))</f>
        <v/>
      </c>
      <c r="N16" s="18" t="str">
        <f aca="false">IF(MIN(IF(ISNUMBER(D23),D23,999))=999,"",MIN(IF(ISNUMBER(D23),D23,999)))</f>
        <v/>
      </c>
      <c r="O16" s="18" t="str">
        <f aca="false">IF(M16="","—",IF(AND(ISNUMBER(N16),N16&lt;=2),"RED",IF(M16&gt;=4,"GREEN",IF(M16&gt;=2.5,"AMBER","RED"))))</f>
        <v>—</v>
      </c>
    </row>
    <row r="17" customFormat="false" ht="55.5" hidden="false" customHeight="true" outlineLevel="0" collapsed="false">
      <c r="A17" s="16" t="s">
        <v>97</v>
      </c>
      <c r="B17" s="14" t="s">
        <v>98</v>
      </c>
      <c r="C17" s="16"/>
      <c r="D17" s="31"/>
      <c r="E17" s="19" t="s">
        <v>99</v>
      </c>
      <c r="F17" s="19" t="s">
        <v>100</v>
      </c>
      <c r="G17" s="19" t="s">
        <v>101</v>
      </c>
      <c r="H17" s="16"/>
      <c r="I17" s="14"/>
      <c r="J17" s="14"/>
      <c r="L17" s="18" t="n">
        <v>3</v>
      </c>
      <c r="M17" s="18" t="str">
        <f aca="false">IF(SUMPRODUCT((C28:C32&lt;&gt;"G")*ISNUMBER(D28:D32))=0,"",SUMPRODUCT((C28:C32&lt;&gt;"G")*ISNUMBER(D28:D32)*D28:D32)/SUMPRODUCT((C28:C32&lt;&gt;"G")*ISNUMBER(D28:D32)))</f>
        <v/>
      </c>
      <c r="N17" s="18" t="str">
        <f aca="false">IF(MIN(IF(ISNUMBER(D30),D30,999))=999,"",MIN(IF(ISNUMBER(D30),D30,999)))</f>
        <v/>
      </c>
      <c r="O17" s="18" t="str">
        <f aca="false">IF(M17="","—",IF(AND(ISNUMBER(N17),N17&lt;=2),"RED",IF(M17&gt;=4,"GREEN",IF(M17&gt;=2.5,"AMBER","RED"))))</f>
        <v>—</v>
      </c>
    </row>
    <row r="18" customFormat="false" ht="55.5" hidden="false" customHeight="true" outlineLevel="0" collapsed="false">
      <c r="A18" s="16" t="s">
        <v>102</v>
      </c>
      <c r="B18" s="14" t="s">
        <v>103</v>
      </c>
      <c r="C18" s="16"/>
      <c r="D18" s="31"/>
      <c r="E18" s="19" t="s">
        <v>104</v>
      </c>
      <c r="F18" s="19" t="s">
        <v>105</v>
      </c>
      <c r="G18" s="19" t="s">
        <v>106</v>
      </c>
      <c r="H18" s="16"/>
      <c r="I18" s="14"/>
      <c r="J18" s="14"/>
      <c r="L18" s="18" t="n">
        <v>4</v>
      </c>
      <c r="M18" s="18" t="str">
        <f aca="false">IF(SUMPRODUCT((C34:C38&lt;&gt;"G")*ISNUMBER(D34:D38))=0,"",SUMPRODUCT((C34:C38&lt;&gt;"G")*ISNUMBER(D34:D38)*D34:D38)/SUMPRODUCT((C34:C38&lt;&gt;"G")*ISNUMBER(D34:D38)))</f>
        <v/>
      </c>
      <c r="N18" s="18" t="str">
        <f aca="false">IF(MIN(IF(ISNUMBER(D34),D34,999))=999,"",MIN(IF(ISNUMBER(D34),D34,999)))</f>
        <v/>
      </c>
      <c r="O18" s="18" t="str">
        <f aca="false">IF(M18="","—",IF(AND(ISNUMBER(N18),N18&lt;=2),"RED",IF(M18&gt;=4,"GREEN",IF(M18&gt;=2.5,"AMBER","RED"))))</f>
        <v>—</v>
      </c>
    </row>
    <row r="19" customFormat="false" ht="55.5" hidden="false" customHeight="true" outlineLevel="0" collapsed="false">
      <c r="A19" s="16" t="s">
        <v>107</v>
      </c>
      <c r="B19" s="14" t="s">
        <v>108</v>
      </c>
      <c r="C19" s="16"/>
      <c r="D19" s="31"/>
      <c r="E19" s="19" t="s">
        <v>109</v>
      </c>
      <c r="F19" s="19" t="s">
        <v>110</v>
      </c>
      <c r="G19" s="19" t="s">
        <v>111</v>
      </c>
      <c r="H19" s="16"/>
      <c r="I19" s="14"/>
      <c r="J19" s="14"/>
      <c r="L19" s="18" t="n">
        <v>5</v>
      </c>
      <c r="M19" s="18" t="str">
        <f aca="false">IF(SUMPRODUCT((C40:C44&lt;&gt;"G")*ISNUMBER(D40:D44))=0,"",SUMPRODUCT((C40:C44&lt;&gt;"G")*ISNUMBER(D40:D44)*D40:D44)/SUMPRODUCT((C40:C44&lt;&gt;"G")*ISNUMBER(D40:D44)))</f>
        <v/>
      </c>
      <c r="N19" s="18" t="str">
        <f aca="false">IF(MIN(IF(ISNUMBER(D40),D40,999))=999,"",MIN(IF(ISNUMBER(D40),D40,999)))</f>
        <v/>
      </c>
      <c r="O19" s="18" t="str">
        <f aca="false">IF(M19="","—",IF(AND(ISNUMBER(N19),N19&lt;=2),"RED",IF(M19&gt;=4,"GREEN",IF(M19&gt;=2.5,"AMBER","RED"))))</f>
        <v>—</v>
      </c>
    </row>
    <row r="20" customFormat="false" ht="55.5" hidden="false" customHeight="true" outlineLevel="0" collapsed="false">
      <c r="A20" s="16" t="s">
        <v>112</v>
      </c>
      <c r="B20" s="14" t="s">
        <v>113</v>
      </c>
      <c r="C20" s="16"/>
      <c r="D20" s="31"/>
      <c r="E20" s="19" t="s">
        <v>114</v>
      </c>
      <c r="F20" s="19" t="s">
        <v>115</v>
      </c>
      <c r="G20" s="19" t="s">
        <v>116</v>
      </c>
      <c r="H20" s="16"/>
      <c r="I20" s="14"/>
      <c r="J20" s="14"/>
      <c r="L20" s="18" t="n">
        <v>6</v>
      </c>
      <c r="M20" s="18" t="str">
        <f aca="false">IF(SUMPRODUCT((C46:C50&lt;&gt;"G")*ISNUMBER(D46:D50))=0,"",SUMPRODUCT((C46:C50&lt;&gt;"G")*ISNUMBER(D46:D50)*D46:D50)/SUMPRODUCT((C46:C50&lt;&gt;"G")*ISNUMBER(D46:D50)))</f>
        <v/>
      </c>
      <c r="N20" s="18" t="str">
        <f aca="false">IF(MIN(IF(ISNUMBER(D46),D46,999))=999,"",MIN(IF(ISNUMBER(D46),D46,999)))</f>
        <v/>
      </c>
      <c r="O20" s="18" t="str">
        <f aca="false">IF(M20="","—",IF(AND(ISNUMBER(N20),N20&lt;=2),"RED",IF(M20&gt;=4,"GREEN",IF(M20&gt;=2.5,"AMBER","RED"))))</f>
        <v>—</v>
      </c>
    </row>
    <row r="21" customFormat="false" ht="21.75" hidden="false" customHeight="true" outlineLevel="0" collapsed="false">
      <c r="A21" s="22" t="s">
        <v>117</v>
      </c>
      <c r="B21" s="22"/>
      <c r="C21" s="22"/>
      <c r="D21" s="22"/>
      <c r="E21" s="22"/>
      <c r="F21" s="22"/>
      <c r="G21" s="22"/>
      <c r="H21" s="22"/>
      <c r="I21" s="22"/>
      <c r="J21" s="22"/>
      <c r="L21" s="18" t="n">
        <v>7</v>
      </c>
      <c r="M21" s="18" t="str">
        <f aca="false">IF(SUMPRODUCT((C52:C56&lt;&gt;"G")*ISNUMBER(D52:D56))=0,"",SUMPRODUCT((C52:C56&lt;&gt;"G")*ISNUMBER(D52:D56)*D52:D56)/SUMPRODUCT((C52:C56&lt;&gt;"G")*ISNUMBER(D52:D56)))</f>
        <v/>
      </c>
      <c r="N21" s="18" t="str">
        <f aca="false">IF(MIN(IF(ISNUMBER(D52),D52,999),IF(ISNUMBER(D56),D56,999))=999,"",MIN(IF(ISNUMBER(D52),D52,999),IF(ISNUMBER(D56),D56,999)))</f>
        <v/>
      </c>
      <c r="O21" s="18" t="str">
        <f aca="false">IF(M21="","—",IF(AND(ISNUMBER(N21),N21&lt;=2),"RED",IF(M21&gt;=4,"GREEN",IF(M21&gt;=2.5,"AMBER","RED"))))</f>
        <v>—</v>
      </c>
    </row>
    <row r="22" customFormat="false" ht="55.5" hidden="false" customHeight="true" outlineLevel="0" collapsed="false">
      <c r="A22" s="16" t="s">
        <v>118</v>
      </c>
      <c r="B22" s="14" t="s">
        <v>119</v>
      </c>
      <c r="C22" s="16"/>
      <c r="D22" s="31"/>
      <c r="E22" s="19" t="s">
        <v>120</v>
      </c>
      <c r="F22" s="19" t="s">
        <v>121</v>
      </c>
      <c r="G22" s="19" t="s">
        <v>122</v>
      </c>
      <c r="H22" s="16"/>
      <c r="I22" s="14"/>
      <c r="J22" s="14"/>
    </row>
    <row r="23" customFormat="false" ht="55.5" hidden="false" customHeight="true" outlineLevel="0" collapsed="false">
      <c r="A23" s="16" t="s">
        <v>123</v>
      </c>
      <c r="B23" s="14" t="s">
        <v>124</v>
      </c>
      <c r="C23" s="30" t="s">
        <v>79</v>
      </c>
      <c r="D23" s="31"/>
      <c r="E23" s="19" t="s">
        <v>125</v>
      </c>
      <c r="F23" s="19" t="s">
        <v>126</v>
      </c>
      <c r="G23" s="19" t="s">
        <v>127</v>
      </c>
      <c r="H23" s="16"/>
      <c r="I23" s="14"/>
      <c r="J23" s="14"/>
    </row>
    <row r="24" customFormat="false" ht="55.5" hidden="false" customHeight="true" outlineLevel="0" collapsed="false">
      <c r="A24" s="16" t="s">
        <v>128</v>
      </c>
      <c r="B24" s="14" t="s">
        <v>129</v>
      </c>
      <c r="C24" s="16"/>
      <c r="D24" s="31"/>
      <c r="E24" s="19" t="s">
        <v>130</v>
      </c>
      <c r="F24" s="19" t="s">
        <v>131</v>
      </c>
      <c r="G24" s="19" t="s">
        <v>132</v>
      </c>
      <c r="H24" s="16"/>
      <c r="I24" s="14"/>
      <c r="J24" s="14"/>
    </row>
    <row r="25" customFormat="false" ht="55.5" hidden="false" customHeight="true" outlineLevel="0" collapsed="false">
      <c r="A25" s="16" t="s">
        <v>133</v>
      </c>
      <c r="B25" s="14" t="s">
        <v>134</v>
      </c>
      <c r="C25" s="16"/>
      <c r="D25" s="31"/>
      <c r="E25" s="19" t="s">
        <v>135</v>
      </c>
      <c r="F25" s="19" t="s">
        <v>136</v>
      </c>
      <c r="G25" s="19" t="s">
        <v>137</v>
      </c>
      <c r="H25" s="16"/>
      <c r="I25" s="14"/>
      <c r="J25" s="14"/>
    </row>
    <row r="26" customFormat="false" ht="55.5" hidden="false" customHeight="true" outlineLevel="0" collapsed="false">
      <c r="A26" s="16" t="s">
        <v>138</v>
      </c>
      <c r="B26" s="14" t="s">
        <v>139</v>
      </c>
      <c r="C26" s="16"/>
      <c r="D26" s="31"/>
      <c r="E26" s="19" t="s">
        <v>140</v>
      </c>
      <c r="F26" s="19" t="s">
        <v>141</v>
      </c>
      <c r="G26" s="19" t="s">
        <v>142</v>
      </c>
      <c r="H26" s="16"/>
      <c r="I26" s="14"/>
      <c r="J26" s="14"/>
    </row>
    <row r="27" customFormat="false" ht="21.75" hidden="false" customHeight="true" outlineLevel="0" collapsed="false">
      <c r="A27" s="22" t="s">
        <v>143</v>
      </c>
      <c r="B27" s="22"/>
      <c r="C27" s="22"/>
      <c r="D27" s="22"/>
      <c r="E27" s="22"/>
      <c r="F27" s="22"/>
      <c r="G27" s="22"/>
      <c r="H27" s="22"/>
      <c r="I27" s="22"/>
      <c r="J27" s="22"/>
    </row>
    <row r="28" customFormat="false" ht="55.5" hidden="false" customHeight="true" outlineLevel="0" collapsed="false">
      <c r="A28" s="16" t="s">
        <v>144</v>
      </c>
      <c r="B28" s="14" t="s">
        <v>145</v>
      </c>
      <c r="C28" s="16"/>
      <c r="D28" s="31"/>
      <c r="E28" s="19" t="s">
        <v>146</v>
      </c>
      <c r="F28" s="19" t="s">
        <v>147</v>
      </c>
      <c r="G28" s="19" t="s">
        <v>148</v>
      </c>
      <c r="H28" s="16"/>
      <c r="I28" s="14"/>
      <c r="J28" s="14"/>
    </row>
    <row r="29" customFormat="false" ht="55.5" hidden="false" customHeight="true" outlineLevel="0" collapsed="false">
      <c r="A29" s="16" t="s">
        <v>149</v>
      </c>
      <c r="B29" s="14" t="s">
        <v>150</v>
      </c>
      <c r="C29" s="16"/>
      <c r="D29" s="31"/>
      <c r="E29" s="19" t="s">
        <v>151</v>
      </c>
      <c r="F29" s="19" t="s">
        <v>152</v>
      </c>
      <c r="G29" s="19" t="s">
        <v>153</v>
      </c>
      <c r="H29" s="16"/>
      <c r="I29" s="14"/>
      <c r="J29" s="14"/>
    </row>
    <row r="30" customFormat="false" ht="55.5" hidden="false" customHeight="true" outlineLevel="0" collapsed="false">
      <c r="A30" s="16" t="s">
        <v>154</v>
      </c>
      <c r="B30" s="14" t="s">
        <v>155</v>
      </c>
      <c r="C30" s="30" t="s">
        <v>79</v>
      </c>
      <c r="D30" s="31"/>
      <c r="E30" s="19" t="s">
        <v>156</v>
      </c>
      <c r="F30" s="19" t="s">
        <v>157</v>
      </c>
      <c r="G30" s="19" t="s">
        <v>158</v>
      </c>
      <c r="H30" s="16"/>
      <c r="I30" s="14"/>
      <c r="J30" s="14"/>
    </row>
    <row r="31" customFormat="false" ht="55.5" hidden="false" customHeight="true" outlineLevel="0" collapsed="false">
      <c r="A31" s="16" t="s">
        <v>159</v>
      </c>
      <c r="B31" s="14" t="s">
        <v>160</v>
      </c>
      <c r="C31" s="16"/>
      <c r="D31" s="31"/>
      <c r="E31" s="19" t="s">
        <v>161</v>
      </c>
      <c r="F31" s="19" t="s">
        <v>162</v>
      </c>
      <c r="G31" s="19" t="s">
        <v>163</v>
      </c>
      <c r="H31" s="16"/>
      <c r="I31" s="14"/>
      <c r="J31" s="14"/>
    </row>
    <row r="32" customFormat="false" ht="55.5" hidden="false" customHeight="true" outlineLevel="0" collapsed="false">
      <c r="A32" s="16" t="s">
        <v>164</v>
      </c>
      <c r="B32" s="14" t="s">
        <v>165</v>
      </c>
      <c r="C32" s="16"/>
      <c r="D32" s="31"/>
      <c r="E32" s="19" t="s">
        <v>166</v>
      </c>
      <c r="F32" s="19" t="s">
        <v>167</v>
      </c>
      <c r="G32" s="19" t="s">
        <v>168</v>
      </c>
      <c r="H32" s="16"/>
      <c r="I32" s="14"/>
      <c r="J32" s="14"/>
    </row>
    <row r="33" customFormat="false" ht="21.75" hidden="false" customHeight="true" outlineLevel="0" collapsed="false">
      <c r="A33" s="22" t="s">
        <v>169</v>
      </c>
      <c r="B33" s="22"/>
      <c r="C33" s="22"/>
      <c r="D33" s="22"/>
      <c r="E33" s="22"/>
      <c r="F33" s="22"/>
      <c r="G33" s="22"/>
      <c r="H33" s="22"/>
      <c r="I33" s="22"/>
      <c r="J33" s="22"/>
    </row>
    <row r="34" customFormat="false" ht="55.5" hidden="false" customHeight="true" outlineLevel="0" collapsed="false">
      <c r="A34" s="16" t="s">
        <v>170</v>
      </c>
      <c r="B34" s="14" t="s">
        <v>171</v>
      </c>
      <c r="C34" s="30" t="s">
        <v>79</v>
      </c>
      <c r="D34" s="31"/>
      <c r="E34" s="19" t="s">
        <v>172</v>
      </c>
      <c r="F34" s="19" t="s">
        <v>173</v>
      </c>
      <c r="G34" s="19" t="s">
        <v>174</v>
      </c>
      <c r="H34" s="16"/>
      <c r="I34" s="14"/>
      <c r="J34" s="14"/>
    </row>
    <row r="35" customFormat="false" ht="55.5" hidden="false" customHeight="true" outlineLevel="0" collapsed="false">
      <c r="A35" s="16" t="s">
        <v>175</v>
      </c>
      <c r="B35" s="14" t="s">
        <v>176</v>
      </c>
      <c r="C35" s="16"/>
      <c r="D35" s="31"/>
      <c r="E35" s="19" t="s">
        <v>177</v>
      </c>
      <c r="F35" s="19" t="s">
        <v>178</v>
      </c>
      <c r="G35" s="19" t="s">
        <v>179</v>
      </c>
      <c r="H35" s="16"/>
      <c r="I35" s="14"/>
      <c r="J35" s="14"/>
    </row>
    <row r="36" customFormat="false" ht="55.5" hidden="false" customHeight="true" outlineLevel="0" collapsed="false">
      <c r="A36" s="16" t="s">
        <v>180</v>
      </c>
      <c r="B36" s="14" t="s">
        <v>181</v>
      </c>
      <c r="C36" s="16"/>
      <c r="D36" s="31"/>
      <c r="E36" s="19" t="s">
        <v>182</v>
      </c>
      <c r="F36" s="19" t="s">
        <v>183</v>
      </c>
      <c r="G36" s="19" t="s">
        <v>184</v>
      </c>
      <c r="H36" s="16"/>
      <c r="I36" s="14"/>
      <c r="J36" s="14"/>
    </row>
    <row r="37" customFormat="false" ht="55.5" hidden="false" customHeight="true" outlineLevel="0" collapsed="false">
      <c r="A37" s="16" t="s">
        <v>185</v>
      </c>
      <c r="B37" s="14" t="s">
        <v>186</v>
      </c>
      <c r="C37" s="16"/>
      <c r="D37" s="31"/>
      <c r="E37" s="19" t="s">
        <v>187</v>
      </c>
      <c r="F37" s="19" t="s">
        <v>188</v>
      </c>
      <c r="G37" s="19" t="s">
        <v>189</v>
      </c>
      <c r="H37" s="16"/>
      <c r="I37" s="14"/>
      <c r="J37" s="14"/>
    </row>
    <row r="38" customFormat="false" ht="55.5" hidden="false" customHeight="true" outlineLevel="0" collapsed="false">
      <c r="A38" s="16" t="s">
        <v>190</v>
      </c>
      <c r="B38" s="14" t="s">
        <v>191</v>
      </c>
      <c r="C38" s="16"/>
      <c r="D38" s="31"/>
      <c r="E38" s="19" t="s">
        <v>192</v>
      </c>
      <c r="F38" s="19" t="s">
        <v>193</v>
      </c>
      <c r="G38" s="19" t="s">
        <v>194</v>
      </c>
      <c r="H38" s="16"/>
      <c r="I38" s="14"/>
      <c r="J38" s="14"/>
    </row>
    <row r="39" customFormat="false" ht="21.75" hidden="false" customHeight="true" outlineLevel="0" collapsed="false">
      <c r="A39" s="22" t="s">
        <v>195</v>
      </c>
      <c r="B39" s="22"/>
      <c r="C39" s="22"/>
      <c r="D39" s="22"/>
      <c r="E39" s="22"/>
      <c r="F39" s="22"/>
      <c r="G39" s="22"/>
      <c r="H39" s="22"/>
      <c r="I39" s="22"/>
      <c r="J39" s="22"/>
    </row>
    <row r="40" customFormat="false" ht="55.5" hidden="false" customHeight="true" outlineLevel="0" collapsed="false">
      <c r="A40" s="16" t="s">
        <v>196</v>
      </c>
      <c r="B40" s="14" t="s">
        <v>197</v>
      </c>
      <c r="C40" s="30" t="s">
        <v>79</v>
      </c>
      <c r="D40" s="31"/>
      <c r="E40" s="19" t="s">
        <v>198</v>
      </c>
      <c r="F40" s="19" t="s">
        <v>199</v>
      </c>
      <c r="G40" s="19" t="s">
        <v>200</v>
      </c>
      <c r="H40" s="16"/>
      <c r="I40" s="14"/>
      <c r="J40" s="14"/>
    </row>
    <row r="41" customFormat="false" ht="55.5" hidden="false" customHeight="true" outlineLevel="0" collapsed="false">
      <c r="A41" s="16" t="s">
        <v>201</v>
      </c>
      <c r="B41" s="14" t="s">
        <v>202</v>
      </c>
      <c r="C41" s="16"/>
      <c r="D41" s="31"/>
      <c r="E41" s="19" t="s">
        <v>203</v>
      </c>
      <c r="F41" s="19" t="s">
        <v>204</v>
      </c>
      <c r="G41" s="19" t="s">
        <v>205</v>
      </c>
      <c r="H41" s="16"/>
      <c r="I41" s="14"/>
      <c r="J41" s="14"/>
    </row>
    <row r="42" customFormat="false" ht="55.5" hidden="false" customHeight="true" outlineLevel="0" collapsed="false">
      <c r="A42" s="16" t="s">
        <v>206</v>
      </c>
      <c r="B42" s="14" t="s">
        <v>207</v>
      </c>
      <c r="C42" s="16"/>
      <c r="D42" s="31"/>
      <c r="E42" s="19" t="s">
        <v>208</v>
      </c>
      <c r="F42" s="19" t="s">
        <v>209</v>
      </c>
      <c r="G42" s="19" t="s">
        <v>210</v>
      </c>
      <c r="H42" s="16"/>
      <c r="I42" s="14"/>
      <c r="J42" s="14"/>
    </row>
    <row r="43" customFormat="false" ht="55.5" hidden="false" customHeight="true" outlineLevel="0" collapsed="false">
      <c r="A43" s="16" t="s">
        <v>211</v>
      </c>
      <c r="B43" s="14" t="s">
        <v>212</v>
      </c>
      <c r="C43" s="16"/>
      <c r="D43" s="31"/>
      <c r="E43" s="19" t="s">
        <v>213</v>
      </c>
      <c r="F43" s="19" t="s">
        <v>214</v>
      </c>
      <c r="G43" s="19" t="s">
        <v>215</v>
      </c>
      <c r="H43" s="16"/>
      <c r="I43" s="14"/>
      <c r="J43" s="14"/>
    </row>
    <row r="44" customFormat="false" ht="55.5" hidden="false" customHeight="true" outlineLevel="0" collapsed="false">
      <c r="A44" s="16" t="s">
        <v>216</v>
      </c>
      <c r="B44" s="14" t="s">
        <v>217</v>
      </c>
      <c r="C44" s="16"/>
      <c r="D44" s="31"/>
      <c r="E44" s="19" t="s">
        <v>218</v>
      </c>
      <c r="F44" s="19" t="s">
        <v>219</v>
      </c>
      <c r="G44" s="19" t="s">
        <v>220</v>
      </c>
      <c r="H44" s="16"/>
      <c r="I44" s="14"/>
      <c r="J44" s="14"/>
    </row>
    <row r="45" customFormat="false" ht="21.75" hidden="false" customHeight="true" outlineLevel="0" collapsed="false">
      <c r="A45" s="22" t="s">
        <v>221</v>
      </c>
      <c r="B45" s="22"/>
      <c r="C45" s="22"/>
      <c r="D45" s="22"/>
      <c r="E45" s="22"/>
      <c r="F45" s="22"/>
      <c r="G45" s="22"/>
      <c r="H45" s="22"/>
      <c r="I45" s="22"/>
      <c r="J45" s="22"/>
    </row>
    <row r="46" customFormat="false" ht="55.5" hidden="false" customHeight="true" outlineLevel="0" collapsed="false">
      <c r="A46" s="16" t="s">
        <v>222</v>
      </c>
      <c r="B46" s="14" t="s">
        <v>223</v>
      </c>
      <c r="C46" s="30" t="s">
        <v>79</v>
      </c>
      <c r="D46" s="31"/>
      <c r="E46" s="19" t="s">
        <v>224</v>
      </c>
      <c r="F46" s="19" t="s">
        <v>225</v>
      </c>
      <c r="G46" s="19" t="s">
        <v>226</v>
      </c>
      <c r="H46" s="16"/>
      <c r="I46" s="14"/>
      <c r="J46" s="14"/>
    </row>
    <row r="47" customFormat="false" ht="55.5" hidden="false" customHeight="true" outlineLevel="0" collapsed="false">
      <c r="A47" s="16" t="s">
        <v>227</v>
      </c>
      <c r="B47" s="14" t="s">
        <v>228</v>
      </c>
      <c r="C47" s="16"/>
      <c r="D47" s="31"/>
      <c r="E47" s="19" t="s">
        <v>229</v>
      </c>
      <c r="F47" s="19" t="s">
        <v>230</v>
      </c>
      <c r="G47" s="19" t="s">
        <v>231</v>
      </c>
      <c r="H47" s="16"/>
      <c r="I47" s="14"/>
      <c r="J47" s="14"/>
    </row>
    <row r="48" customFormat="false" ht="55.5" hidden="false" customHeight="true" outlineLevel="0" collapsed="false">
      <c r="A48" s="16" t="s">
        <v>232</v>
      </c>
      <c r="B48" s="14" t="s">
        <v>233</v>
      </c>
      <c r="C48" s="16"/>
      <c r="D48" s="31"/>
      <c r="E48" s="19" t="s">
        <v>234</v>
      </c>
      <c r="F48" s="19" t="s">
        <v>235</v>
      </c>
      <c r="G48" s="19" t="s">
        <v>236</v>
      </c>
      <c r="H48" s="16"/>
      <c r="I48" s="14"/>
      <c r="J48" s="14"/>
    </row>
    <row r="49" customFormat="false" ht="55.5" hidden="false" customHeight="true" outlineLevel="0" collapsed="false">
      <c r="A49" s="16" t="s">
        <v>237</v>
      </c>
      <c r="B49" s="14" t="s">
        <v>238</v>
      </c>
      <c r="C49" s="16"/>
      <c r="D49" s="31"/>
      <c r="E49" s="19" t="s">
        <v>239</v>
      </c>
      <c r="F49" s="19" t="s">
        <v>240</v>
      </c>
      <c r="G49" s="19" t="s">
        <v>241</v>
      </c>
      <c r="H49" s="16"/>
      <c r="I49" s="14"/>
      <c r="J49" s="14"/>
    </row>
    <row r="50" customFormat="false" ht="55.5" hidden="false" customHeight="true" outlineLevel="0" collapsed="false">
      <c r="A50" s="16" t="s">
        <v>242</v>
      </c>
      <c r="B50" s="14" t="s">
        <v>243</v>
      </c>
      <c r="C50" s="16"/>
      <c r="D50" s="31"/>
      <c r="E50" s="19" t="s">
        <v>244</v>
      </c>
      <c r="F50" s="19" t="s">
        <v>245</v>
      </c>
      <c r="G50" s="19" t="s">
        <v>246</v>
      </c>
      <c r="H50" s="16"/>
      <c r="I50" s="14"/>
      <c r="J50" s="14"/>
    </row>
    <row r="51" customFormat="false" ht="21.75" hidden="false" customHeight="true" outlineLevel="0" collapsed="false">
      <c r="A51" s="22" t="s">
        <v>247</v>
      </c>
      <c r="B51" s="22"/>
      <c r="C51" s="22"/>
      <c r="D51" s="22"/>
      <c r="E51" s="22"/>
      <c r="F51" s="22"/>
      <c r="G51" s="22"/>
      <c r="H51" s="22"/>
      <c r="I51" s="22"/>
      <c r="J51" s="22"/>
    </row>
    <row r="52" customFormat="false" ht="55.5" hidden="false" customHeight="true" outlineLevel="0" collapsed="false">
      <c r="A52" s="16" t="s">
        <v>248</v>
      </c>
      <c r="B52" s="14" t="s">
        <v>249</v>
      </c>
      <c r="C52" s="30" t="s">
        <v>79</v>
      </c>
      <c r="D52" s="31"/>
      <c r="E52" s="19" t="s">
        <v>250</v>
      </c>
      <c r="F52" s="19" t="s">
        <v>251</v>
      </c>
      <c r="G52" s="19" t="s">
        <v>252</v>
      </c>
      <c r="H52" s="16"/>
      <c r="I52" s="14"/>
      <c r="J52" s="14"/>
    </row>
    <row r="53" customFormat="false" ht="55.5" hidden="false" customHeight="true" outlineLevel="0" collapsed="false">
      <c r="A53" s="16" t="s">
        <v>253</v>
      </c>
      <c r="B53" s="14" t="s">
        <v>254</v>
      </c>
      <c r="C53" s="16"/>
      <c r="D53" s="31"/>
      <c r="E53" s="19" t="s">
        <v>255</v>
      </c>
      <c r="F53" s="19" t="s">
        <v>256</v>
      </c>
      <c r="G53" s="19" t="s">
        <v>257</v>
      </c>
      <c r="H53" s="16"/>
      <c r="I53" s="14"/>
      <c r="J53" s="14"/>
    </row>
    <row r="54" customFormat="false" ht="55.5" hidden="false" customHeight="true" outlineLevel="0" collapsed="false">
      <c r="A54" s="16" t="s">
        <v>258</v>
      </c>
      <c r="B54" s="14" t="s">
        <v>259</v>
      </c>
      <c r="C54" s="16"/>
      <c r="D54" s="31"/>
      <c r="E54" s="19" t="s">
        <v>260</v>
      </c>
      <c r="F54" s="19" t="s">
        <v>261</v>
      </c>
      <c r="G54" s="19" t="s">
        <v>262</v>
      </c>
      <c r="H54" s="16"/>
      <c r="I54" s="14"/>
      <c r="J54" s="14"/>
    </row>
    <row r="55" customFormat="false" ht="55.5" hidden="false" customHeight="true" outlineLevel="0" collapsed="false">
      <c r="A55" s="16" t="s">
        <v>263</v>
      </c>
      <c r="B55" s="14" t="s">
        <v>264</v>
      </c>
      <c r="C55" s="16"/>
      <c r="D55" s="31"/>
      <c r="E55" s="19" t="s">
        <v>265</v>
      </c>
      <c r="F55" s="19" t="s">
        <v>266</v>
      </c>
      <c r="G55" s="19" t="s">
        <v>267</v>
      </c>
      <c r="H55" s="16"/>
      <c r="I55" s="14"/>
      <c r="J55" s="14"/>
    </row>
    <row r="56" customFormat="false" ht="55.5" hidden="false" customHeight="true" outlineLevel="0" collapsed="false">
      <c r="A56" s="16" t="s">
        <v>268</v>
      </c>
      <c r="B56" s="14" t="s">
        <v>269</v>
      </c>
      <c r="C56" s="30" t="s">
        <v>79</v>
      </c>
      <c r="D56" s="31"/>
      <c r="E56" s="19" t="s">
        <v>270</v>
      </c>
      <c r="F56" s="19" t="s">
        <v>271</v>
      </c>
      <c r="G56" s="19" t="s">
        <v>272</v>
      </c>
      <c r="H56" s="16"/>
      <c r="I56" s="14"/>
      <c r="J56" s="14"/>
    </row>
  </sheetData>
  <mergeCells count="30">
    <mergeCell ref="A1:J1"/>
    <mergeCell ref="B3:D3"/>
    <mergeCell ref="F3:G3"/>
    <mergeCell ref="H3:J3"/>
    <mergeCell ref="B4:D4"/>
    <mergeCell ref="F4:G4"/>
    <mergeCell ref="H4:J4"/>
    <mergeCell ref="B5:D5"/>
    <mergeCell ref="F5:J5"/>
    <mergeCell ref="B6:D6"/>
    <mergeCell ref="F6:H6"/>
    <mergeCell ref="B7:D7"/>
    <mergeCell ref="F7:H7"/>
    <mergeCell ref="B8:D8"/>
    <mergeCell ref="F8:H8"/>
    <mergeCell ref="B9:D9"/>
    <mergeCell ref="F9:H9"/>
    <mergeCell ref="B10:D10"/>
    <mergeCell ref="F10:H10"/>
    <mergeCell ref="B11:D11"/>
    <mergeCell ref="F11:H11"/>
    <mergeCell ref="B12:D12"/>
    <mergeCell ref="F12:H12"/>
    <mergeCell ref="A15:J15"/>
    <mergeCell ref="A21:J21"/>
    <mergeCell ref="A27:J27"/>
    <mergeCell ref="A33:J33"/>
    <mergeCell ref="A39:J39"/>
    <mergeCell ref="A45:J45"/>
    <mergeCell ref="A51:J51"/>
  </mergeCells>
  <conditionalFormatting sqref="J6:J12">
    <cfRule type="cellIs" priority="2" operator="equal" aboveAverage="0" equalAverage="0" bottom="0" percent="0" rank="0" text="" dxfId="3">
      <formula>"GREEN"</formula>
    </cfRule>
    <cfRule type="cellIs" priority="3" operator="equal" aboveAverage="0" equalAverage="0" bottom="0" percent="0" rank="0" text="" dxfId="4">
      <formula>"AMBER"</formula>
    </cfRule>
    <cfRule type="cellIs" priority="4" operator="equal" aboveAverage="0" equalAverage="0" bottom="0" percent="0" rank="0" text="" dxfId="5">
      <formula>"RED"</formula>
    </cfRule>
  </conditionalFormatting>
  <conditionalFormatting sqref="H3">
    <cfRule type="cellIs" priority="5" operator="equal" aboveAverage="0" equalAverage="0" bottom="0" percent="0" rank="0" text="" dxfId="3">
      <formula>"GREEN"</formula>
    </cfRule>
    <cfRule type="cellIs" priority="6" operator="equal" aboveAverage="0" equalAverage="0" bottom="0" percent="0" rank="0" text="" dxfId="4">
      <formula>"AMBER"</formula>
    </cfRule>
    <cfRule type="cellIs" priority="7" operator="equal" aboveAverage="0" equalAverage="0" bottom="0" percent="0" rank="0" text="" dxfId="5">
      <formula>"RED"</formula>
    </cfRule>
  </conditionalFormatting>
  <conditionalFormatting sqref="D15:D56">
    <cfRule type="cellIs" priority="8" operator="lessThanOrEqual" aboveAverage="0" equalAverage="0" bottom="0" percent="0" rank="0" text="" dxfId="5">
      <formula>2</formula>
    </cfRule>
    <cfRule type="cellIs" priority="9" operator="equal" aboveAverage="0" equalAverage="0" bottom="0" percent="0" rank="0" text="" dxfId="4">
      <formula>3</formula>
    </cfRule>
    <cfRule type="cellIs" priority="10" operator="greaterThanOrEqual" aboveAverage="0" equalAverage="0" bottom="0" percent="0" rank="0" text="" dxfId="3">
      <formula>4</formula>
    </cfRule>
  </conditionalFormatting>
  <conditionalFormatting sqref="H15:H56">
    <cfRule type="cellIs" priority="11" operator="equal" aboveAverage="0" equalAverage="0" bottom="0" percent="0" rank="0" text="" dxfId="5">
      <formula>"Absent"</formula>
    </cfRule>
    <cfRule type="cellIs" priority="12" operator="equal" aboveAverage="0" equalAverage="0" bottom="0" percent="0" rank="0" text="" dxfId="4">
      <formula>"Partial"</formula>
    </cfRule>
    <cfRule type="cellIs" priority="13" operator="equal" aboveAverage="0" equalAverage="0" bottom="0" percent="0" rank="0" text="" dxfId="3">
      <formula>"Present"</formula>
    </cfRule>
  </conditionalFormatting>
  <dataValidations count="5">
    <dataValidation allowBlank="true" error="Pick a value from the drop-down: 1–5 or N/A." errorStyle="stop" errorTitle="Invalid score" operator="between" showDropDown="false" showErrorMessage="true" showInputMessage="false" sqref="D15:D56" type="list">
      <formula1>ScoreList</formula1>
      <formula2>0</formula2>
    </dataValidation>
    <dataValidation allowBlank="true" error="Pick Present, Partial, or Absent." errorStyle="stop" errorTitle="Invalid status" operator="between" showDropDown="false" showErrorMessage="true" showInputMessage="false" sqref="H15:H56" type="list">
      <formula1>EvidenceList</formula1>
      <formula2>0</formula2>
    </dataValidation>
    <dataValidation allowBlank="true" errorStyle="stop" operator="between" showDropDown="false" showErrorMessage="false" showInputMessage="false" sqref="B8" type="list">
      <formula1>ModeList</formula1>
      <formula2>0</formula2>
    </dataValidation>
    <dataValidation allowBlank="true" errorStyle="stop" operator="between" showDropDown="false" showErrorMessage="false" showInputMessage="false" sqref="B9" type="list">
      <formula1>DepClassList</formula1>
      <formula2>0</formula2>
    </dataValidation>
    <dataValidation allowBlank="true" errorStyle="stop" operator="between" showDropDown="false" showErrorMessage="false" showInputMessage="false" sqref="B10" type="list">
      <formula1>TrajectoryList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5"/>
    <col collapsed="false" customWidth="true" hidden="false" outlineLevel="0" max="4" min="4" style="0" width="9"/>
    <col collapsed="false" customWidth="true" hidden="false" outlineLevel="0" max="7" min="5" style="0" width="30"/>
    <col collapsed="false" customWidth="true" hidden="false" outlineLevel="0" max="8" min="8" style="0" width="14"/>
    <col collapsed="false" customWidth="true" hidden="false" outlineLevel="0" max="9" min="9" style="0" width="42"/>
    <col collapsed="false" customWidth="true" hidden="false" outlineLevel="0" max="10" min="10" style="0" width="18"/>
    <col collapsed="false" customWidth="true" hidden="true" outlineLevel="0" max="15" min="12" style="0" width="13"/>
  </cols>
  <sheetData>
    <row r="1" customFormat="false" ht="30" hidden="false" customHeight="true" outlineLevel="0" collapsed="false">
      <c r="A1" s="1" t="s">
        <v>273</v>
      </c>
      <c r="B1" s="1"/>
      <c r="C1" s="1"/>
      <c r="D1" s="1"/>
      <c r="E1" s="1"/>
      <c r="F1" s="1"/>
      <c r="G1" s="1"/>
      <c r="H1" s="1"/>
      <c r="I1" s="1"/>
      <c r="J1" s="1"/>
    </row>
    <row r="3" customFormat="false" ht="27.75" hidden="false" customHeight="true" outlineLevel="0" collapsed="false">
      <c r="A3" s="5" t="s">
        <v>40</v>
      </c>
      <c r="B3" s="6"/>
      <c r="C3" s="6"/>
      <c r="D3" s="6"/>
      <c r="F3" s="24" t="s">
        <v>50</v>
      </c>
      <c r="G3" s="24"/>
      <c r="H3" s="25" t="str">
        <f aca="false">IF(COUNTIF(J6:J12,"RED")&gt;0,"RED",IF(COUNTIF(J6:J12,"AMBER")&gt;0,"AMBER",IF(COUNTIF(J6:J12,"GREEN")&gt;0,"GREEN","—")))</f>
        <v>—</v>
      </c>
      <c r="I3" s="25"/>
      <c r="J3" s="25"/>
    </row>
    <row r="4" customFormat="false" ht="19.5" hidden="false" customHeight="true" outlineLevel="0" collapsed="false">
      <c r="A4" s="5" t="s">
        <v>60</v>
      </c>
      <c r="B4" s="6"/>
      <c r="C4" s="6"/>
      <c r="D4" s="6"/>
      <c r="F4" s="8" t="s">
        <v>61</v>
      </c>
      <c r="G4" s="8"/>
      <c r="H4" s="26" t="str">
        <f aca="false">IF(COUNTIF(J6:J12,"RED")&gt;0,INDEX(F6:F12,MATCH("RED",J6:J12,0)),IF(COUNTIF(J6:J12,"AMBER")&gt;0,INDEX(F6:F12,MATCH("AMBER",J6:J12,0)),IF(COUNTIF(J6:J12,"GREEN")&gt;0,INDEX(F6:F12,MATCH("GREEN",J6:J12,0)),"—")))</f>
        <v>—</v>
      </c>
      <c r="I4" s="26"/>
      <c r="J4" s="26"/>
    </row>
    <row r="5" customFormat="false" ht="19.5" hidden="false" customHeight="true" outlineLevel="0" collapsed="false">
      <c r="A5" s="5" t="s">
        <v>62</v>
      </c>
      <c r="B5" s="6"/>
      <c r="C5" s="6"/>
      <c r="D5" s="6"/>
      <c r="F5" s="8" t="s">
        <v>63</v>
      </c>
      <c r="G5" s="8"/>
      <c r="H5" s="8"/>
      <c r="I5" s="8"/>
      <c r="J5" s="8"/>
    </row>
    <row r="6" customFormat="false" ht="18" hidden="false" customHeight="true" outlineLevel="0" collapsed="false">
      <c r="A6" s="5" t="s">
        <v>64</v>
      </c>
      <c r="B6" s="6"/>
      <c r="C6" s="6"/>
      <c r="D6" s="6"/>
      <c r="F6" s="27" t="s">
        <v>65</v>
      </c>
      <c r="G6" s="27"/>
      <c r="H6" s="27"/>
      <c r="I6" s="28" t="str">
        <f aca="false">IFERROR(ROUND(M15,2),"")</f>
        <v/>
      </c>
      <c r="J6" s="29" t="str">
        <f aca="false">O15</f>
        <v>—</v>
      </c>
    </row>
    <row r="7" customFormat="false" ht="18" hidden="false" customHeight="true" outlineLevel="0" collapsed="false">
      <c r="A7" s="5" t="s">
        <v>66</v>
      </c>
      <c r="B7" s="6"/>
      <c r="C7" s="6"/>
      <c r="D7" s="6"/>
      <c r="F7" s="27" t="s">
        <v>67</v>
      </c>
      <c r="G7" s="27"/>
      <c r="H7" s="27"/>
      <c r="I7" s="28" t="str">
        <f aca="false">IFERROR(ROUND(M16,2),"")</f>
        <v/>
      </c>
      <c r="J7" s="29" t="str">
        <f aca="false">O16</f>
        <v>—</v>
      </c>
    </row>
    <row r="8" customFormat="false" ht="18" hidden="false" customHeight="true" outlineLevel="0" collapsed="false">
      <c r="A8" s="5" t="s">
        <v>35</v>
      </c>
      <c r="B8" s="6"/>
      <c r="C8" s="6"/>
      <c r="D8" s="6"/>
      <c r="F8" s="27" t="s">
        <v>68</v>
      </c>
      <c r="G8" s="27"/>
      <c r="H8" s="27"/>
      <c r="I8" s="28" t="str">
        <f aca="false">IFERROR(ROUND(M17,2),"")</f>
        <v/>
      </c>
      <c r="J8" s="29" t="str">
        <f aca="false">O17</f>
        <v>—</v>
      </c>
    </row>
    <row r="9" customFormat="false" ht="18" hidden="false" customHeight="true" outlineLevel="0" collapsed="false">
      <c r="A9" s="5" t="s">
        <v>69</v>
      </c>
      <c r="B9" s="6"/>
      <c r="C9" s="6"/>
      <c r="D9" s="6"/>
      <c r="F9" s="27" t="s">
        <v>70</v>
      </c>
      <c r="G9" s="27"/>
      <c r="H9" s="27"/>
      <c r="I9" s="28" t="str">
        <f aca="false">IFERROR(ROUND(M18,2),"")</f>
        <v/>
      </c>
      <c r="J9" s="29" t="str">
        <f aca="false">O18</f>
        <v>—</v>
      </c>
    </row>
    <row r="10" customFormat="false" ht="18" hidden="false" customHeight="true" outlineLevel="0" collapsed="false">
      <c r="A10" s="5" t="s">
        <v>71</v>
      </c>
      <c r="B10" s="6"/>
      <c r="C10" s="6"/>
      <c r="D10" s="6"/>
      <c r="F10" s="27" t="s">
        <v>72</v>
      </c>
      <c r="G10" s="27"/>
      <c r="H10" s="27"/>
      <c r="I10" s="28" t="str">
        <f aca="false">IFERROR(ROUND(M19,2),"")</f>
        <v/>
      </c>
      <c r="J10" s="29" t="str">
        <f aca="false">O19</f>
        <v>—</v>
      </c>
    </row>
    <row r="11" customFormat="false" ht="18" hidden="false" customHeight="true" outlineLevel="0" collapsed="false">
      <c r="A11" s="5" t="s">
        <v>73</v>
      </c>
      <c r="B11" s="6"/>
      <c r="C11" s="6"/>
      <c r="D11" s="6"/>
      <c r="F11" s="27" t="s">
        <v>74</v>
      </c>
      <c r="G11" s="27"/>
      <c r="H11" s="27"/>
      <c r="I11" s="28" t="str">
        <f aca="false">IFERROR(ROUND(M20,2),"")</f>
        <v/>
      </c>
      <c r="J11" s="29" t="str">
        <f aca="false">O20</f>
        <v>—</v>
      </c>
    </row>
    <row r="12" customFormat="false" ht="18" hidden="false" customHeight="true" outlineLevel="0" collapsed="false">
      <c r="A12" s="5" t="s">
        <v>75</v>
      </c>
      <c r="B12" s="6"/>
      <c r="C12" s="6"/>
      <c r="D12" s="6"/>
      <c r="F12" s="27" t="s">
        <v>76</v>
      </c>
      <c r="G12" s="27"/>
      <c r="H12" s="27"/>
      <c r="I12" s="28" t="str">
        <f aca="false">IFERROR(ROUND(M21,2),"")</f>
        <v/>
      </c>
      <c r="J12" s="29" t="str">
        <f aca="false">O21</f>
        <v>—</v>
      </c>
    </row>
    <row r="13" customFormat="false" ht="7.5" hidden="false" customHeight="true" outlineLevel="0" collapsed="false"/>
    <row r="14" customFormat="false" ht="30" hidden="false" customHeight="true" outlineLevel="0" collapsed="false">
      <c r="A14" s="12" t="s">
        <v>77</v>
      </c>
      <c r="B14" s="12" t="s">
        <v>78</v>
      </c>
      <c r="C14" s="12" t="s">
        <v>79</v>
      </c>
      <c r="D14" s="12" t="s">
        <v>80</v>
      </c>
      <c r="E14" s="12" t="s">
        <v>81</v>
      </c>
      <c r="F14" s="12" t="s">
        <v>82</v>
      </c>
      <c r="G14" s="12" t="s">
        <v>83</v>
      </c>
      <c r="H14" s="12" t="s">
        <v>84</v>
      </c>
      <c r="I14" s="12" t="s">
        <v>85</v>
      </c>
      <c r="J14" s="12" t="s">
        <v>86</v>
      </c>
      <c r="L14" s="13" t="s">
        <v>87</v>
      </c>
      <c r="M14" s="13" t="s">
        <v>88</v>
      </c>
      <c r="N14" s="13" t="s">
        <v>89</v>
      </c>
      <c r="O14" s="13" t="s">
        <v>90</v>
      </c>
    </row>
    <row r="15" customFormat="false" ht="21.75" hidden="false" customHeight="true" outlineLevel="0" collapsed="false">
      <c r="A15" s="22" t="s">
        <v>91</v>
      </c>
      <c r="B15" s="22"/>
      <c r="C15" s="22"/>
      <c r="D15" s="22"/>
      <c r="E15" s="22"/>
      <c r="F15" s="22"/>
      <c r="G15" s="22"/>
      <c r="H15" s="22"/>
      <c r="I15" s="22"/>
      <c r="J15" s="22"/>
      <c r="L15" s="18" t="n">
        <v>1</v>
      </c>
      <c r="M15" s="18" t="str">
        <f aca="false">IF(SUMPRODUCT((C16:C20&lt;&gt;"G")*ISNUMBER(D16:D20))=0,"",SUMPRODUCT((C16:C20&lt;&gt;"G")*ISNUMBER(D16:D20)*D16:D20)/SUMPRODUCT((C16:C20&lt;&gt;"G")*ISNUMBER(D16:D20)))</f>
        <v/>
      </c>
      <c r="N15" s="18" t="str">
        <f aca="false">IF(MIN(IF(ISNUMBER(D16),D16,999))=999,"",MIN(IF(ISNUMBER(D16),D16,999)))</f>
        <v/>
      </c>
      <c r="O15" s="18" t="str">
        <f aca="false">IF(M15="","—",IF(AND(ISNUMBER(N15),N15&lt;=2),"RED",IF(M15&gt;=4,"GREEN",IF(M15&gt;=2.5,"AMBER","RED"))))</f>
        <v>—</v>
      </c>
    </row>
    <row r="16" customFormat="false" ht="55.5" hidden="false" customHeight="true" outlineLevel="0" collapsed="false">
      <c r="A16" s="16" t="s">
        <v>92</v>
      </c>
      <c r="B16" s="14" t="s">
        <v>93</v>
      </c>
      <c r="C16" s="30" t="s">
        <v>79</v>
      </c>
      <c r="D16" s="31"/>
      <c r="E16" s="19" t="s">
        <v>94</v>
      </c>
      <c r="F16" s="19" t="s">
        <v>95</v>
      </c>
      <c r="G16" s="19" t="s">
        <v>96</v>
      </c>
      <c r="H16" s="16"/>
      <c r="I16" s="14"/>
      <c r="J16" s="14"/>
      <c r="L16" s="18" t="n">
        <v>2</v>
      </c>
      <c r="M16" s="18" t="str">
        <f aca="false">IF(SUMPRODUCT((C22:C26&lt;&gt;"G")*ISNUMBER(D22:D26))=0,"",SUMPRODUCT((C22:C26&lt;&gt;"G")*ISNUMBER(D22:D26)*D22:D26)/SUMPRODUCT((C22:C26&lt;&gt;"G")*ISNUMBER(D22:D26)))</f>
        <v/>
      </c>
      <c r="N16" s="18" t="str">
        <f aca="false">IF(MIN(IF(ISNUMBER(D23),D23,999))=999,"",MIN(IF(ISNUMBER(D23),D23,999)))</f>
        <v/>
      </c>
      <c r="O16" s="18" t="str">
        <f aca="false">IF(M16="","—",IF(AND(ISNUMBER(N16),N16&lt;=2),"RED",IF(M16&gt;=4,"GREEN",IF(M16&gt;=2.5,"AMBER","RED"))))</f>
        <v>—</v>
      </c>
    </row>
    <row r="17" customFormat="false" ht="55.5" hidden="false" customHeight="true" outlineLevel="0" collapsed="false">
      <c r="A17" s="16" t="s">
        <v>97</v>
      </c>
      <c r="B17" s="14" t="s">
        <v>98</v>
      </c>
      <c r="C17" s="16"/>
      <c r="D17" s="31"/>
      <c r="E17" s="19" t="s">
        <v>99</v>
      </c>
      <c r="F17" s="19" t="s">
        <v>100</v>
      </c>
      <c r="G17" s="19" t="s">
        <v>101</v>
      </c>
      <c r="H17" s="16"/>
      <c r="I17" s="14"/>
      <c r="J17" s="14"/>
      <c r="L17" s="18" t="n">
        <v>3</v>
      </c>
      <c r="M17" s="18" t="str">
        <f aca="false">IF(SUMPRODUCT((C28:C32&lt;&gt;"G")*ISNUMBER(D28:D32))=0,"",SUMPRODUCT((C28:C32&lt;&gt;"G")*ISNUMBER(D28:D32)*D28:D32)/SUMPRODUCT((C28:C32&lt;&gt;"G")*ISNUMBER(D28:D32)))</f>
        <v/>
      </c>
      <c r="N17" s="18" t="str">
        <f aca="false">IF(MIN(IF(ISNUMBER(D30),D30,999))=999,"",MIN(IF(ISNUMBER(D30),D30,999)))</f>
        <v/>
      </c>
      <c r="O17" s="18" t="str">
        <f aca="false">IF(M17="","—",IF(AND(ISNUMBER(N17),N17&lt;=2),"RED",IF(M17&gt;=4,"GREEN",IF(M17&gt;=2.5,"AMBER","RED"))))</f>
        <v>—</v>
      </c>
    </row>
    <row r="18" customFormat="false" ht="55.5" hidden="false" customHeight="true" outlineLevel="0" collapsed="false">
      <c r="A18" s="16" t="s">
        <v>102</v>
      </c>
      <c r="B18" s="14" t="s">
        <v>103</v>
      </c>
      <c r="C18" s="16"/>
      <c r="D18" s="31"/>
      <c r="E18" s="19" t="s">
        <v>104</v>
      </c>
      <c r="F18" s="19" t="s">
        <v>105</v>
      </c>
      <c r="G18" s="19" t="s">
        <v>106</v>
      </c>
      <c r="H18" s="16"/>
      <c r="I18" s="14"/>
      <c r="J18" s="14"/>
      <c r="L18" s="18" t="n">
        <v>4</v>
      </c>
      <c r="M18" s="18" t="str">
        <f aca="false">IF(SUMPRODUCT((C34:C38&lt;&gt;"G")*ISNUMBER(D34:D38))=0,"",SUMPRODUCT((C34:C38&lt;&gt;"G")*ISNUMBER(D34:D38)*D34:D38)/SUMPRODUCT((C34:C38&lt;&gt;"G")*ISNUMBER(D34:D38)))</f>
        <v/>
      </c>
      <c r="N18" s="18" t="str">
        <f aca="false">IF(MIN(IF(ISNUMBER(D34),D34,999))=999,"",MIN(IF(ISNUMBER(D34),D34,999)))</f>
        <v/>
      </c>
      <c r="O18" s="18" t="str">
        <f aca="false">IF(M18="","—",IF(AND(ISNUMBER(N18),N18&lt;=2),"RED",IF(M18&gt;=4,"GREEN",IF(M18&gt;=2.5,"AMBER","RED"))))</f>
        <v>—</v>
      </c>
    </row>
    <row r="19" customFormat="false" ht="55.5" hidden="false" customHeight="true" outlineLevel="0" collapsed="false">
      <c r="A19" s="16" t="s">
        <v>107</v>
      </c>
      <c r="B19" s="14" t="s">
        <v>108</v>
      </c>
      <c r="C19" s="16"/>
      <c r="D19" s="31"/>
      <c r="E19" s="19" t="s">
        <v>109</v>
      </c>
      <c r="F19" s="19" t="s">
        <v>110</v>
      </c>
      <c r="G19" s="19" t="s">
        <v>111</v>
      </c>
      <c r="H19" s="16"/>
      <c r="I19" s="14"/>
      <c r="J19" s="14"/>
      <c r="L19" s="18" t="n">
        <v>5</v>
      </c>
      <c r="M19" s="18" t="str">
        <f aca="false">IF(SUMPRODUCT((C40:C44&lt;&gt;"G")*ISNUMBER(D40:D44))=0,"",SUMPRODUCT((C40:C44&lt;&gt;"G")*ISNUMBER(D40:D44)*D40:D44)/SUMPRODUCT((C40:C44&lt;&gt;"G")*ISNUMBER(D40:D44)))</f>
        <v/>
      </c>
      <c r="N19" s="18" t="str">
        <f aca="false">IF(MIN(IF(ISNUMBER(D40),D40,999))=999,"",MIN(IF(ISNUMBER(D40),D40,999)))</f>
        <v/>
      </c>
      <c r="O19" s="18" t="str">
        <f aca="false">IF(M19="","—",IF(AND(ISNUMBER(N19),N19&lt;=2),"RED",IF(M19&gt;=4,"GREEN",IF(M19&gt;=2.5,"AMBER","RED"))))</f>
        <v>—</v>
      </c>
    </row>
    <row r="20" customFormat="false" ht="55.5" hidden="false" customHeight="true" outlineLevel="0" collapsed="false">
      <c r="A20" s="16" t="s">
        <v>112</v>
      </c>
      <c r="B20" s="14" t="s">
        <v>113</v>
      </c>
      <c r="C20" s="16"/>
      <c r="D20" s="31"/>
      <c r="E20" s="19" t="s">
        <v>114</v>
      </c>
      <c r="F20" s="19" t="s">
        <v>115</v>
      </c>
      <c r="G20" s="19" t="s">
        <v>116</v>
      </c>
      <c r="H20" s="16"/>
      <c r="I20" s="14"/>
      <c r="J20" s="14"/>
      <c r="L20" s="18" t="n">
        <v>6</v>
      </c>
      <c r="M20" s="18" t="str">
        <f aca="false">IF(SUMPRODUCT((C46:C50&lt;&gt;"G")*ISNUMBER(D46:D50))=0,"",SUMPRODUCT((C46:C50&lt;&gt;"G")*ISNUMBER(D46:D50)*D46:D50)/SUMPRODUCT((C46:C50&lt;&gt;"G")*ISNUMBER(D46:D50)))</f>
        <v/>
      </c>
      <c r="N20" s="18" t="str">
        <f aca="false">IF(MIN(IF(ISNUMBER(D46),D46,999))=999,"",MIN(IF(ISNUMBER(D46),D46,999)))</f>
        <v/>
      </c>
      <c r="O20" s="18" t="str">
        <f aca="false">IF(M20="","—",IF(AND(ISNUMBER(N20),N20&lt;=2),"RED",IF(M20&gt;=4,"GREEN",IF(M20&gt;=2.5,"AMBER","RED"))))</f>
        <v>—</v>
      </c>
    </row>
    <row r="21" customFormat="false" ht="21.75" hidden="false" customHeight="true" outlineLevel="0" collapsed="false">
      <c r="A21" s="22" t="s">
        <v>117</v>
      </c>
      <c r="B21" s="22"/>
      <c r="C21" s="22"/>
      <c r="D21" s="22"/>
      <c r="E21" s="22"/>
      <c r="F21" s="22"/>
      <c r="G21" s="22"/>
      <c r="H21" s="22"/>
      <c r="I21" s="22"/>
      <c r="J21" s="22"/>
      <c r="L21" s="18" t="n">
        <v>7</v>
      </c>
      <c r="M21" s="18" t="str">
        <f aca="false">IF(SUMPRODUCT((C52:C56&lt;&gt;"G")*ISNUMBER(D52:D56))=0,"",SUMPRODUCT((C52:C56&lt;&gt;"G")*ISNUMBER(D52:D56)*D52:D56)/SUMPRODUCT((C52:C56&lt;&gt;"G")*ISNUMBER(D52:D56)))</f>
        <v/>
      </c>
      <c r="N21" s="18" t="str">
        <f aca="false">IF(MIN(IF(ISNUMBER(D52),D52,999),IF(ISNUMBER(D56),D56,999))=999,"",MIN(IF(ISNUMBER(D52),D52,999),IF(ISNUMBER(D56),D56,999)))</f>
        <v/>
      </c>
      <c r="O21" s="18" t="str">
        <f aca="false">IF(M21="","—",IF(AND(ISNUMBER(N21),N21&lt;=2),"RED",IF(M21&gt;=4,"GREEN",IF(M21&gt;=2.5,"AMBER","RED"))))</f>
        <v>—</v>
      </c>
    </row>
    <row r="22" customFormat="false" ht="55.5" hidden="false" customHeight="true" outlineLevel="0" collapsed="false">
      <c r="A22" s="16" t="s">
        <v>118</v>
      </c>
      <c r="B22" s="14" t="s">
        <v>119</v>
      </c>
      <c r="C22" s="16"/>
      <c r="D22" s="31"/>
      <c r="E22" s="19" t="s">
        <v>120</v>
      </c>
      <c r="F22" s="19" t="s">
        <v>121</v>
      </c>
      <c r="G22" s="19" t="s">
        <v>122</v>
      </c>
      <c r="H22" s="16"/>
      <c r="I22" s="14"/>
      <c r="J22" s="14"/>
    </row>
    <row r="23" customFormat="false" ht="55.5" hidden="false" customHeight="true" outlineLevel="0" collapsed="false">
      <c r="A23" s="16" t="s">
        <v>123</v>
      </c>
      <c r="B23" s="14" t="s">
        <v>124</v>
      </c>
      <c r="C23" s="30" t="s">
        <v>79</v>
      </c>
      <c r="D23" s="31"/>
      <c r="E23" s="19" t="s">
        <v>125</v>
      </c>
      <c r="F23" s="19" t="s">
        <v>126</v>
      </c>
      <c r="G23" s="19" t="s">
        <v>127</v>
      </c>
      <c r="H23" s="16"/>
      <c r="I23" s="14"/>
      <c r="J23" s="14"/>
    </row>
    <row r="24" customFormat="false" ht="55.5" hidden="false" customHeight="true" outlineLevel="0" collapsed="false">
      <c r="A24" s="16" t="s">
        <v>128</v>
      </c>
      <c r="B24" s="14" t="s">
        <v>129</v>
      </c>
      <c r="C24" s="16"/>
      <c r="D24" s="31"/>
      <c r="E24" s="19" t="s">
        <v>130</v>
      </c>
      <c r="F24" s="19" t="s">
        <v>131</v>
      </c>
      <c r="G24" s="19" t="s">
        <v>132</v>
      </c>
      <c r="H24" s="16"/>
      <c r="I24" s="14"/>
      <c r="J24" s="14"/>
    </row>
    <row r="25" customFormat="false" ht="55.5" hidden="false" customHeight="true" outlineLevel="0" collapsed="false">
      <c r="A25" s="16" t="s">
        <v>133</v>
      </c>
      <c r="B25" s="14" t="s">
        <v>134</v>
      </c>
      <c r="C25" s="16"/>
      <c r="D25" s="31"/>
      <c r="E25" s="19" t="s">
        <v>135</v>
      </c>
      <c r="F25" s="19" t="s">
        <v>136</v>
      </c>
      <c r="G25" s="19" t="s">
        <v>137</v>
      </c>
      <c r="H25" s="16"/>
      <c r="I25" s="14"/>
      <c r="J25" s="14"/>
    </row>
    <row r="26" customFormat="false" ht="55.5" hidden="false" customHeight="true" outlineLevel="0" collapsed="false">
      <c r="A26" s="16" t="s">
        <v>138</v>
      </c>
      <c r="B26" s="14" t="s">
        <v>139</v>
      </c>
      <c r="C26" s="16"/>
      <c r="D26" s="31"/>
      <c r="E26" s="19" t="s">
        <v>140</v>
      </c>
      <c r="F26" s="19" t="s">
        <v>141</v>
      </c>
      <c r="G26" s="19" t="s">
        <v>142</v>
      </c>
      <c r="H26" s="16"/>
      <c r="I26" s="14"/>
      <c r="J26" s="14"/>
    </row>
    <row r="27" customFormat="false" ht="21.75" hidden="false" customHeight="true" outlineLevel="0" collapsed="false">
      <c r="A27" s="22" t="s">
        <v>143</v>
      </c>
      <c r="B27" s="22"/>
      <c r="C27" s="22"/>
      <c r="D27" s="22"/>
      <c r="E27" s="22"/>
      <c r="F27" s="22"/>
      <c r="G27" s="22"/>
      <c r="H27" s="22"/>
      <c r="I27" s="22"/>
      <c r="J27" s="22"/>
    </row>
    <row r="28" customFormat="false" ht="55.5" hidden="false" customHeight="true" outlineLevel="0" collapsed="false">
      <c r="A28" s="16" t="s">
        <v>144</v>
      </c>
      <c r="B28" s="14" t="s">
        <v>145</v>
      </c>
      <c r="C28" s="16"/>
      <c r="D28" s="31"/>
      <c r="E28" s="19" t="s">
        <v>146</v>
      </c>
      <c r="F28" s="19" t="s">
        <v>147</v>
      </c>
      <c r="G28" s="19" t="s">
        <v>148</v>
      </c>
      <c r="H28" s="16"/>
      <c r="I28" s="14"/>
      <c r="J28" s="14"/>
    </row>
    <row r="29" customFormat="false" ht="55.5" hidden="false" customHeight="true" outlineLevel="0" collapsed="false">
      <c r="A29" s="16" t="s">
        <v>149</v>
      </c>
      <c r="B29" s="14" t="s">
        <v>150</v>
      </c>
      <c r="C29" s="16"/>
      <c r="D29" s="31"/>
      <c r="E29" s="19" t="s">
        <v>151</v>
      </c>
      <c r="F29" s="19" t="s">
        <v>152</v>
      </c>
      <c r="G29" s="19" t="s">
        <v>153</v>
      </c>
      <c r="H29" s="16"/>
      <c r="I29" s="14"/>
      <c r="J29" s="14"/>
    </row>
    <row r="30" customFormat="false" ht="55.5" hidden="false" customHeight="true" outlineLevel="0" collapsed="false">
      <c r="A30" s="16" t="s">
        <v>154</v>
      </c>
      <c r="B30" s="14" t="s">
        <v>155</v>
      </c>
      <c r="C30" s="30" t="s">
        <v>79</v>
      </c>
      <c r="D30" s="31"/>
      <c r="E30" s="19" t="s">
        <v>156</v>
      </c>
      <c r="F30" s="19" t="s">
        <v>157</v>
      </c>
      <c r="G30" s="19" t="s">
        <v>158</v>
      </c>
      <c r="H30" s="16"/>
      <c r="I30" s="14"/>
      <c r="J30" s="14"/>
    </row>
    <row r="31" customFormat="false" ht="55.5" hidden="false" customHeight="true" outlineLevel="0" collapsed="false">
      <c r="A31" s="16" t="s">
        <v>159</v>
      </c>
      <c r="B31" s="14" t="s">
        <v>160</v>
      </c>
      <c r="C31" s="16"/>
      <c r="D31" s="31"/>
      <c r="E31" s="19" t="s">
        <v>161</v>
      </c>
      <c r="F31" s="19" t="s">
        <v>162</v>
      </c>
      <c r="G31" s="19" t="s">
        <v>163</v>
      </c>
      <c r="H31" s="16"/>
      <c r="I31" s="14"/>
      <c r="J31" s="14"/>
    </row>
    <row r="32" customFormat="false" ht="55.5" hidden="false" customHeight="true" outlineLevel="0" collapsed="false">
      <c r="A32" s="16" t="s">
        <v>164</v>
      </c>
      <c r="B32" s="14" t="s">
        <v>165</v>
      </c>
      <c r="C32" s="16"/>
      <c r="D32" s="31"/>
      <c r="E32" s="19" t="s">
        <v>166</v>
      </c>
      <c r="F32" s="19" t="s">
        <v>167</v>
      </c>
      <c r="G32" s="19" t="s">
        <v>168</v>
      </c>
      <c r="H32" s="16"/>
      <c r="I32" s="14"/>
      <c r="J32" s="14"/>
    </row>
    <row r="33" customFormat="false" ht="21.75" hidden="false" customHeight="true" outlineLevel="0" collapsed="false">
      <c r="A33" s="22" t="s">
        <v>169</v>
      </c>
      <c r="B33" s="22"/>
      <c r="C33" s="22"/>
      <c r="D33" s="22"/>
      <c r="E33" s="22"/>
      <c r="F33" s="22"/>
      <c r="G33" s="22"/>
      <c r="H33" s="22"/>
      <c r="I33" s="22"/>
      <c r="J33" s="22"/>
    </row>
    <row r="34" customFormat="false" ht="55.5" hidden="false" customHeight="true" outlineLevel="0" collapsed="false">
      <c r="A34" s="16" t="s">
        <v>170</v>
      </c>
      <c r="B34" s="14" t="s">
        <v>171</v>
      </c>
      <c r="C34" s="30" t="s">
        <v>79</v>
      </c>
      <c r="D34" s="31"/>
      <c r="E34" s="19" t="s">
        <v>172</v>
      </c>
      <c r="F34" s="19" t="s">
        <v>173</v>
      </c>
      <c r="G34" s="19" t="s">
        <v>174</v>
      </c>
      <c r="H34" s="16"/>
      <c r="I34" s="14"/>
      <c r="J34" s="14"/>
    </row>
    <row r="35" customFormat="false" ht="55.5" hidden="false" customHeight="true" outlineLevel="0" collapsed="false">
      <c r="A35" s="16" t="s">
        <v>175</v>
      </c>
      <c r="B35" s="14" t="s">
        <v>176</v>
      </c>
      <c r="C35" s="16"/>
      <c r="D35" s="31"/>
      <c r="E35" s="19" t="s">
        <v>177</v>
      </c>
      <c r="F35" s="19" t="s">
        <v>178</v>
      </c>
      <c r="G35" s="19" t="s">
        <v>179</v>
      </c>
      <c r="H35" s="16"/>
      <c r="I35" s="14"/>
      <c r="J35" s="14"/>
    </row>
    <row r="36" customFormat="false" ht="55.5" hidden="false" customHeight="true" outlineLevel="0" collapsed="false">
      <c r="A36" s="16" t="s">
        <v>180</v>
      </c>
      <c r="B36" s="14" t="s">
        <v>181</v>
      </c>
      <c r="C36" s="16"/>
      <c r="D36" s="31"/>
      <c r="E36" s="19" t="s">
        <v>182</v>
      </c>
      <c r="F36" s="19" t="s">
        <v>183</v>
      </c>
      <c r="G36" s="19" t="s">
        <v>184</v>
      </c>
      <c r="H36" s="16"/>
      <c r="I36" s="14"/>
      <c r="J36" s="14"/>
    </row>
    <row r="37" customFormat="false" ht="55.5" hidden="false" customHeight="true" outlineLevel="0" collapsed="false">
      <c r="A37" s="16" t="s">
        <v>185</v>
      </c>
      <c r="B37" s="14" t="s">
        <v>186</v>
      </c>
      <c r="C37" s="16"/>
      <c r="D37" s="31"/>
      <c r="E37" s="19" t="s">
        <v>187</v>
      </c>
      <c r="F37" s="19" t="s">
        <v>188</v>
      </c>
      <c r="G37" s="19" t="s">
        <v>189</v>
      </c>
      <c r="H37" s="16"/>
      <c r="I37" s="14"/>
      <c r="J37" s="14"/>
    </row>
    <row r="38" customFormat="false" ht="55.5" hidden="false" customHeight="true" outlineLevel="0" collapsed="false">
      <c r="A38" s="16" t="s">
        <v>190</v>
      </c>
      <c r="B38" s="14" t="s">
        <v>191</v>
      </c>
      <c r="C38" s="16"/>
      <c r="D38" s="31"/>
      <c r="E38" s="19" t="s">
        <v>192</v>
      </c>
      <c r="F38" s="19" t="s">
        <v>193</v>
      </c>
      <c r="G38" s="19" t="s">
        <v>194</v>
      </c>
      <c r="H38" s="16"/>
      <c r="I38" s="14"/>
      <c r="J38" s="14"/>
    </row>
    <row r="39" customFormat="false" ht="21.75" hidden="false" customHeight="true" outlineLevel="0" collapsed="false">
      <c r="A39" s="22" t="s">
        <v>195</v>
      </c>
      <c r="B39" s="22"/>
      <c r="C39" s="22"/>
      <c r="D39" s="22"/>
      <c r="E39" s="22"/>
      <c r="F39" s="22"/>
      <c r="G39" s="22"/>
      <c r="H39" s="22"/>
      <c r="I39" s="22"/>
      <c r="J39" s="22"/>
    </row>
    <row r="40" customFormat="false" ht="55.5" hidden="false" customHeight="true" outlineLevel="0" collapsed="false">
      <c r="A40" s="16" t="s">
        <v>196</v>
      </c>
      <c r="B40" s="14" t="s">
        <v>197</v>
      </c>
      <c r="C40" s="30" t="s">
        <v>79</v>
      </c>
      <c r="D40" s="31"/>
      <c r="E40" s="19" t="s">
        <v>198</v>
      </c>
      <c r="F40" s="19" t="s">
        <v>199</v>
      </c>
      <c r="G40" s="19" t="s">
        <v>200</v>
      </c>
      <c r="H40" s="16"/>
      <c r="I40" s="14"/>
      <c r="J40" s="14"/>
    </row>
    <row r="41" customFormat="false" ht="55.5" hidden="false" customHeight="true" outlineLevel="0" collapsed="false">
      <c r="A41" s="16" t="s">
        <v>201</v>
      </c>
      <c r="B41" s="14" t="s">
        <v>202</v>
      </c>
      <c r="C41" s="16"/>
      <c r="D41" s="31"/>
      <c r="E41" s="19" t="s">
        <v>203</v>
      </c>
      <c r="F41" s="19" t="s">
        <v>204</v>
      </c>
      <c r="G41" s="19" t="s">
        <v>205</v>
      </c>
      <c r="H41" s="16"/>
      <c r="I41" s="14"/>
      <c r="J41" s="14"/>
    </row>
    <row r="42" customFormat="false" ht="55.5" hidden="false" customHeight="true" outlineLevel="0" collapsed="false">
      <c r="A42" s="16" t="s">
        <v>206</v>
      </c>
      <c r="B42" s="14" t="s">
        <v>207</v>
      </c>
      <c r="C42" s="16"/>
      <c r="D42" s="31"/>
      <c r="E42" s="19" t="s">
        <v>208</v>
      </c>
      <c r="F42" s="19" t="s">
        <v>209</v>
      </c>
      <c r="G42" s="19" t="s">
        <v>210</v>
      </c>
      <c r="H42" s="16"/>
      <c r="I42" s="14"/>
      <c r="J42" s="14"/>
    </row>
    <row r="43" customFormat="false" ht="55.5" hidden="false" customHeight="true" outlineLevel="0" collapsed="false">
      <c r="A43" s="16" t="s">
        <v>211</v>
      </c>
      <c r="B43" s="14" t="s">
        <v>212</v>
      </c>
      <c r="C43" s="16"/>
      <c r="D43" s="31"/>
      <c r="E43" s="19" t="s">
        <v>213</v>
      </c>
      <c r="F43" s="19" t="s">
        <v>214</v>
      </c>
      <c r="G43" s="19" t="s">
        <v>215</v>
      </c>
      <c r="H43" s="16"/>
      <c r="I43" s="14"/>
      <c r="J43" s="14"/>
    </row>
    <row r="44" customFormat="false" ht="55.5" hidden="false" customHeight="true" outlineLevel="0" collapsed="false">
      <c r="A44" s="16" t="s">
        <v>216</v>
      </c>
      <c r="B44" s="14" t="s">
        <v>217</v>
      </c>
      <c r="C44" s="16"/>
      <c r="D44" s="31"/>
      <c r="E44" s="19" t="s">
        <v>218</v>
      </c>
      <c r="F44" s="19" t="s">
        <v>219</v>
      </c>
      <c r="G44" s="19" t="s">
        <v>220</v>
      </c>
      <c r="H44" s="16"/>
      <c r="I44" s="14"/>
      <c r="J44" s="14"/>
    </row>
    <row r="45" customFormat="false" ht="21.75" hidden="false" customHeight="true" outlineLevel="0" collapsed="false">
      <c r="A45" s="22" t="s">
        <v>221</v>
      </c>
      <c r="B45" s="22"/>
      <c r="C45" s="22"/>
      <c r="D45" s="22"/>
      <c r="E45" s="22"/>
      <c r="F45" s="22"/>
      <c r="G45" s="22"/>
      <c r="H45" s="22"/>
      <c r="I45" s="22"/>
      <c r="J45" s="22"/>
    </row>
    <row r="46" customFormat="false" ht="55.5" hidden="false" customHeight="true" outlineLevel="0" collapsed="false">
      <c r="A46" s="16" t="s">
        <v>222</v>
      </c>
      <c r="B46" s="14" t="s">
        <v>223</v>
      </c>
      <c r="C46" s="30" t="s">
        <v>79</v>
      </c>
      <c r="D46" s="31"/>
      <c r="E46" s="19" t="s">
        <v>224</v>
      </c>
      <c r="F46" s="19" t="s">
        <v>225</v>
      </c>
      <c r="G46" s="19" t="s">
        <v>226</v>
      </c>
      <c r="H46" s="16"/>
      <c r="I46" s="14"/>
      <c r="J46" s="14"/>
    </row>
    <row r="47" customFormat="false" ht="55.5" hidden="false" customHeight="true" outlineLevel="0" collapsed="false">
      <c r="A47" s="16" t="s">
        <v>227</v>
      </c>
      <c r="B47" s="14" t="s">
        <v>228</v>
      </c>
      <c r="C47" s="16"/>
      <c r="D47" s="31"/>
      <c r="E47" s="19" t="s">
        <v>229</v>
      </c>
      <c r="F47" s="19" t="s">
        <v>230</v>
      </c>
      <c r="G47" s="19" t="s">
        <v>231</v>
      </c>
      <c r="H47" s="16"/>
      <c r="I47" s="14"/>
      <c r="J47" s="14"/>
    </row>
    <row r="48" customFormat="false" ht="55.5" hidden="false" customHeight="true" outlineLevel="0" collapsed="false">
      <c r="A48" s="16" t="s">
        <v>232</v>
      </c>
      <c r="B48" s="14" t="s">
        <v>233</v>
      </c>
      <c r="C48" s="16"/>
      <c r="D48" s="31"/>
      <c r="E48" s="19" t="s">
        <v>234</v>
      </c>
      <c r="F48" s="19" t="s">
        <v>235</v>
      </c>
      <c r="G48" s="19" t="s">
        <v>236</v>
      </c>
      <c r="H48" s="16"/>
      <c r="I48" s="14"/>
      <c r="J48" s="14"/>
    </row>
    <row r="49" customFormat="false" ht="55.5" hidden="false" customHeight="true" outlineLevel="0" collapsed="false">
      <c r="A49" s="16" t="s">
        <v>237</v>
      </c>
      <c r="B49" s="14" t="s">
        <v>238</v>
      </c>
      <c r="C49" s="16"/>
      <c r="D49" s="31"/>
      <c r="E49" s="19" t="s">
        <v>239</v>
      </c>
      <c r="F49" s="19" t="s">
        <v>240</v>
      </c>
      <c r="G49" s="19" t="s">
        <v>241</v>
      </c>
      <c r="H49" s="16"/>
      <c r="I49" s="14"/>
      <c r="J49" s="14"/>
    </row>
    <row r="50" customFormat="false" ht="55.5" hidden="false" customHeight="true" outlineLevel="0" collapsed="false">
      <c r="A50" s="16" t="s">
        <v>242</v>
      </c>
      <c r="B50" s="14" t="s">
        <v>243</v>
      </c>
      <c r="C50" s="16"/>
      <c r="D50" s="31"/>
      <c r="E50" s="19" t="s">
        <v>244</v>
      </c>
      <c r="F50" s="19" t="s">
        <v>245</v>
      </c>
      <c r="G50" s="19" t="s">
        <v>246</v>
      </c>
      <c r="H50" s="16"/>
      <c r="I50" s="14"/>
      <c r="J50" s="14"/>
    </row>
    <row r="51" customFormat="false" ht="21.75" hidden="false" customHeight="true" outlineLevel="0" collapsed="false">
      <c r="A51" s="22" t="s">
        <v>247</v>
      </c>
      <c r="B51" s="22"/>
      <c r="C51" s="22"/>
      <c r="D51" s="22"/>
      <c r="E51" s="22"/>
      <c r="F51" s="22"/>
      <c r="G51" s="22"/>
      <c r="H51" s="22"/>
      <c r="I51" s="22"/>
      <c r="J51" s="22"/>
    </row>
    <row r="52" customFormat="false" ht="55.5" hidden="false" customHeight="true" outlineLevel="0" collapsed="false">
      <c r="A52" s="16" t="s">
        <v>248</v>
      </c>
      <c r="B52" s="14" t="s">
        <v>249</v>
      </c>
      <c r="C52" s="30" t="s">
        <v>79</v>
      </c>
      <c r="D52" s="31"/>
      <c r="E52" s="19" t="s">
        <v>250</v>
      </c>
      <c r="F52" s="19" t="s">
        <v>251</v>
      </c>
      <c r="G52" s="19" t="s">
        <v>252</v>
      </c>
      <c r="H52" s="16"/>
      <c r="I52" s="14"/>
      <c r="J52" s="14"/>
    </row>
    <row r="53" customFormat="false" ht="55.5" hidden="false" customHeight="true" outlineLevel="0" collapsed="false">
      <c r="A53" s="16" t="s">
        <v>253</v>
      </c>
      <c r="B53" s="14" t="s">
        <v>254</v>
      </c>
      <c r="C53" s="16"/>
      <c r="D53" s="31"/>
      <c r="E53" s="19" t="s">
        <v>255</v>
      </c>
      <c r="F53" s="19" t="s">
        <v>256</v>
      </c>
      <c r="G53" s="19" t="s">
        <v>257</v>
      </c>
      <c r="H53" s="16"/>
      <c r="I53" s="14"/>
      <c r="J53" s="14"/>
    </row>
    <row r="54" customFormat="false" ht="55.5" hidden="false" customHeight="true" outlineLevel="0" collapsed="false">
      <c r="A54" s="16" t="s">
        <v>258</v>
      </c>
      <c r="B54" s="14" t="s">
        <v>259</v>
      </c>
      <c r="C54" s="16"/>
      <c r="D54" s="31"/>
      <c r="E54" s="19" t="s">
        <v>260</v>
      </c>
      <c r="F54" s="19" t="s">
        <v>261</v>
      </c>
      <c r="G54" s="19" t="s">
        <v>262</v>
      </c>
      <c r="H54" s="16"/>
      <c r="I54" s="14"/>
      <c r="J54" s="14"/>
    </row>
    <row r="55" customFormat="false" ht="55.5" hidden="false" customHeight="true" outlineLevel="0" collapsed="false">
      <c r="A55" s="16" t="s">
        <v>263</v>
      </c>
      <c r="B55" s="14" t="s">
        <v>264</v>
      </c>
      <c r="C55" s="16"/>
      <c r="D55" s="31"/>
      <c r="E55" s="19" t="s">
        <v>265</v>
      </c>
      <c r="F55" s="19" t="s">
        <v>266</v>
      </c>
      <c r="G55" s="19" t="s">
        <v>267</v>
      </c>
      <c r="H55" s="16"/>
      <c r="I55" s="14"/>
      <c r="J55" s="14"/>
    </row>
    <row r="56" customFormat="false" ht="55.5" hidden="false" customHeight="true" outlineLevel="0" collapsed="false">
      <c r="A56" s="16" t="s">
        <v>268</v>
      </c>
      <c r="B56" s="14" t="s">
        <v>269</v>
      </c>
      <c r="C56" s="30" t="s">
        <v>79</v>
      </c>
      <c r="D56" s="31"/>
      <c r="E56" s="19" t="s">
        <v>270</v>
      </c>
      <c r="F56" s="19" t="s">
        <v>271</v>
      </c>
      <c r="G56" s="19" t="s">
        <v>272</v>
      </c>
      <c r="H56" s="16"/>
      <c r="I56" s="14"/>
      <c r="J56" s="14"/>
    </row>
  </sheetData>
  <mergeCells count="30">
    <mergeCell ref="A1:J1"/>
    <mergeCell ref="B3:D3"/>
    <mergeCell ref="F3:G3"/>
    <mergeCell ref="H3:J3"/>
    <mergeCell ref="B4:D4"/>
    <mergeCell ref="F4:G4"/>
    <mergeCell ref="H4:J4"/>
    <mergeCell ref="B5:D5"/>
    <mergeCell ref="F5:J5"/>
    <mergeCell ref="B6:D6"/>
    <mergeCell ref="F6:H6"/>
    <mergeCell ref="B7:D7"/>
    <mergeCell ref="F7:H7"/>
    <mergeCell ref="B8:D8"/>
    <mergeCell ref="F8:H8"/>
    <mergeCell ref="B9:D9"/>
    <mergeCell ref="F9:H9"/>
    <mergeCell ref="B10:D10"/>
    <mergeCell ref="F10:H10"/>
    <mergeCell ref="B11:D11"/>
    <mergeCell ref="F11:H11"/>
    <mergeCell ref="B12:D12"/>
    <mergeCell ref="F12:H12"/>
    <mergeCell ref="A15:J15"/>
    <mergeCell ref="A21:J21"/>
    <mergeCell ref="A27:J27"/>
    <mergeCell ref="A33:J33"/>
    <mergeCell ref="A39:J39"/>
    <mergeCell ref="A45:J45"/>
    <mergeCell ref="A51:J51"/>
  </mergeCells>
  <conditionalFormatting sqref="J6:J12">
    <cfRule type="cellIs" priority="2" operator="equal" aboveAverage="0" equalAverage="0" bottom="0" percent="0" rank="0" text="" dxfId="3">
      <formula>"GREEN"</formula>
    </cfRule>
    <cfRule type="cellIs" priority="3" operator="equal" aboveAverage="0" equalAverage="0" bottom="0" percent="0" rank="0" text="" dxfId="4">
      <formula>"AMBER"</formula>
    </cfRule>
    <cfRule type="cellIs" priority="4" operator="equal" aboveAverage="0" equalAverage="0" bottom="0" percent="0" rank="0" text="" dxfId="5">
      <formula>"RED"</formula>
    </cfRule>
  </conditionalFormatting>
  <conditionalFormatting sqref="H3">
    <cfRule type="cellIs" priority="5" operator="equal" aboveAverage="0" equalAverage="0" bottom="0" percent="0" rank="0" text="" dxfId="3">
      <formula>"GREEN"</formula>
    </cfRule>
    <cfRule type="cellIs" priority="6" operator="equal" aboveAverage="0" equalAverage="0" bottom="0" percent="0" rank="0" text="" dxfId="4">
      <formula>"AMBER"</formula>
    </cfRule>
    <cfRule type="cellIs" priority="7" operator="equal" aboveAverage="0" equalAverage="0" bottom="0" percent="0" rank="0" text="" dxfId="5">
      <formula>"RED"</formula>
    </cfRule>
  </conditionalFormatting>
  <conditionalFormatting sqref="D15:D56">
    <cfRule type="cellIs" priority="8" operator="lessThanOrEqual" aboveAverage="0" equalAverage="0" bottom="0" percent="0" rank="0" text="" dxfId="5">
      <formula>2</formula>
    </cfRule>
    <cfRule type="cellIs" priority="9" operator="equal" aboveAverage="0" equalAverage="0" bottom="0" percent="0" rank="0" text="" dxfId="4">
      <formula>3</formula>
    </cfRule>
    <cfRule type="cellIs" priority="10" operator="greaterThanOrEqual" aboveAverage="0" equalAverage="0" bottom="0" percent="0" rank="0" text="" dxfId="3">
      <formula>4</formula>
    </cfRule>
  </conditionalFormatting>
  <conditionalFormatting sqref="H15:H56">
    <cfRule type="cellIs" priority="11" operator="equal" aboveAverage="0" equalAverage="0" bottom="0" percent="0" rank="0" text="" dxfId="5">
      <formula>"Absent"</formula>
    </cfRule>
    <cfRule type="cellIs" priority="12" operator="equal" aboveAverage="0" equalAverage="0" bottom="0" percent="0" rank="0" text="" dxfId="4">
      <formula>"Partial"</formula>
    </cfRule>
    <cfRule type="cellIs" priority="13" operator="equal" aboveAverage="0" equalAverage="0" bottom="0" percent="0" rank="0" text="" dxfId="3">
      <formula>"Present"</formula>
    </cfRule>
  </conditionalFormatting>
  <dataValidations count="5">
    <dataValidation allowBlank="true" error="Pick a value from the drop-down: 1–5 or N/A." errorStyle="stop" errorTitle="Invalid score" operator="between" showDropDown="false" showErrorMessage="true" showInputMessage="false" sqref="D15:D56" type="list">
      <formula1>ScoreList</formula1>
      <formula2>0</formula2>
    </dataValidation>
    <dataValidation allowBlank="true" error="Pick Present, Partial, or Absent." errorStyle="stop" errorTitle="Invalid status" operator="between" showDropDown="false" showErrorMessage="true" showInputMessage="false" sqref="H15:H56" type="list">
      <formula1>EvidenceList</formula1>
      <formula2>0</formula2>
    </dataValidation>
    <dataValidation allowBlank="true" errorStyle="stop" operator="between" showDropDown="false" showErrorMessage="false" showInputMessage="false" sqref="B8" type="list">
      <formula1>ModeList</formula1>
      <formula2>0</formula2>
    </dataValidation>
    <dataValidation allowBlank="true" errorStyle="stop" operator="between" showDropDown="false" showErrorMessage="false" showInputMessage="false" sqref="B9" type="list">
      <formula1>DepClassList</formula1>
      <formula2>0</formula2>
    </dataValidation>
    <dataValidation allowBlank="true" errorStyle="stop" operator="between" showDropDown="false" showErrorMessage="false" showInputMessage="false" sqref="B10" type="list">
      <formula1>TrajectoryList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5"/>
    <col collapsed="false" customWidth="true" hidden="false" outlineLevel="0" max="4" min="4" style="0" width="9"/>
    <col collapsed="false" customWidth="true" hidden="false" outlineLevel="0" max="7" min="5" style="0" width="30"/>
    <col collapsed="false" customWidth="true" hidden="false" outlineLevel="0" max="8" min="8" style="0" width="14"/>
    <col collapsed="false" customWidth="true" hidden="false" outlineLevel="0" max="9" min="9" style="0" width="42"/>
    <col collapsed="false" customWidth="true" hidden="false" outlineLevel="0" max="10" min="10" style="0" width="18"/>
    <col collapsed="false" customWidth="true" hidden="true" outlineLevel="0" max="15" min="12" style="0" width="13"/>
  </cols>
  <sheetData>
    <row r="1" customFormat="false" ht="30" hidden="false" customHeight="true" outlineLevel="0" collapsed="false">
      <c r="A1" s="1" t="s">
        <v>274</v>
      </c>
      <c r="B1" s="1"/>
      <c r="C1" s="1"/>
      <c r="D1" s="1"/>
      <c r="E1" s="1"/>
      <c r="F1" s="1"/>
      <c r="G1" s="1"/>
      <c r="H1" s="1"/>
      <c r="I1" s="1"/>
      <c r="J1" s="1"/>
    </row>
    <row r="3" customFormat="false" ht="27.75" hidden="false" customHeight="true" outlineLevel="0" collapsed="false">
      <c r="A3" s="5" t="s">
        <v>40</v>
      </c>
      <c r="B3" s="6"/>
      <c r="C3" s="6"/>
      <c r="D3" s="6"/>
      <c r="F3" s="24" t="s">
        <v>50</v>
      </c>
      <c r="G3" s="24"/>
      <c r="H3" s="25" t="str">
        <f aca="false">IF(COUNTIF(J6:J12,"RED")&gt;0,"RED",IF(COUNTIF(J6:J12,"AMBER")&gt;0,"AMBER",IF(COUNTIF(J6:J12,"GREEN")&gt;0,"GREEN","—")))</f>
        <v>—</v>
      </c>
      <c r="I3" s="25"/>
      <c r="J3" s="25"/>
    </row>
    <row r="4" customFormat="false" ht="19.5" hidden="false" customHeight="true" outlineLevel="0" collapsed="false">
      <c r="A4" s="5" t="s">
        <v>60</v>
      </c>
      <c r="B4" s="6"/>
      <c r="C4" s="6"/>
      <c r="D4" s="6"/>
      <c r="F4" s="8" t="s">
        <v>61</v>
      </c>
      <c r="G4" s="8"/>
      <c r="H4" s="26" t="str">
        <f aca="false">IF(COUNTIF(J6:J12,"RED")&gt;0,INDEX(F6:F12,MATCH("RED",J6:J12,0)),IF(COUNTIF(J6:J12,"AMBER")&gt;0,INDEX(F6:F12,MATCH("AMBER",J6:J12,0)),IF(COUNTIF(J6:J12,"GREEN")&gt;0,INDEX(F6:F12,MATCH("GREEN",J6:J12,0)),"—")))</f>
        <v>—</v>
      </c>
      <c r="I4" s="26"/>
      <c r="J4" s="26"/>
    </row>
    <row r="5" customFormat="false" ht="19.5" hidden="false" customHeight="true" outlineLevel="0" collapsed="false">
      <c r="A5" s="5" t="s">
        <v>62</v>
      </c>
      <c r="B5" s="6"/>
      <c r="C5" s="6"/>
      <c r="D5" s="6"/>
      <c r="F5" s="8" t="s">
        <v>63</v>
      </c>
      <c r="G5" s="8"/>
      <c r="H5" s="8"/>
      <c r="I5" s="8"/>
      <c r="J5" s="8"/>
    </row>
    <row r="6" customFormat="false" ht="18" hidden="false" customHeight="true" outlineLevel="0" collapsed="false">
      <c r="A6" s="5" t="s">
        <v>64</v>
      </c>
      <c r="B6" s="6"/>
      <c r="C6" s="6"/>
      <c r="D6" s="6"/>
      <c r="F6" s="27" t="s">
        <v>65</v>
      </c>
      <c r="G6" s="27"/>
      <c r="H6" s="27"/>
      <c r="I6" s="28" t="str">
        <f aca="false">IFERROR(ROUND(M15,2),"")</f>
        <v/>
      </c>
      <c r="J6" s="29" t="str">
        <f aca="false">O15</f>
        <v>—</v>
      </c>
    </row>
    <row r="7" customFormat="false" ht="18" hidden="false" customHeight="true" outlineLevel="0" collapsed="false">
      <c r="A7" s="5" t="s">
        <v>66</v>
      </c>
      <c r="B7" s="6"/>
      <c r="C7" s="6"/>
      <c r="D7" s="6"/>
      <c r="F7" s="27" t="s">
        <v>67</v>
      </c>
      <c r="G7" s="27"/>
      <c r="H7" s="27"/>
      <c r="I7" s="28" t="str">
        <f aca="false">IFERROR(ROUND(M16,2),"")</f>
        <v/>
      </c>
      <c r="J7" s="29" t="str">
        <f aca="false">O16</f>
        <v>—</v>
      </c>
    </row>
    <row r="8" customFormat="false" ht="18" hidden="false" customHeight="true" outlineLevel="0" collapsed="false">
      <c r="A8" s="5" t="s">
        <v>35</v>
      </c>
      <c r="B8" s="6"/>
      <c r="C8" s="6"/>
      <c r="D8" s="6"/>
      <c r="F8" s="27" t="s">
        <v>68</v>
      </c>
      <c r="G8" s="27"/>
      <c r="H8" s="27"/>
      <c r="I8" s="28" t="str">
        <f aca="false">IFERROR(ROUND(M17,2),"")</f>
        <v/>
      </c>
      <c r="J8" s="29" t="str">
        <f aca="false">O17</f>
        <v>—</v>
      </c>
    </row>
    <row r="9" customFormat="false" ht="18" hidden="false" customHeight="true" outlineLevel="0" collapsed="false">
      <c r="A9" s="5" t="s">
        <v>69</v>
      </c>
      <c r="B9" s="6"/>
      <c r="C9" s="6"/>
      <c r="D9" s="6"/>
      <c r="F9" s="27" t="s">
        <v>70</v>
      </c>
      <c r="G9" s="27"/>
      <c r="H9" s="27"/>
      <c r="I9" s="28" t="str">
        <f aca="false">IFERROR(ROUND(M18,2),"")</f>
        <v/>
      </c>
      <c r="J9" s="29" t="str">
        <f aca="false">O18</f>
        <v>—</v>
      </c>
    </row>
    <row r="10" customFormat="false" ht="18" hidden="false" customHeight="true" outlineLevel="0" collapsed="false">
      <c r="A10" s="5" t="s">
        <v>71</v>
      </c>
      <c r="B10" s="6"/>
      <c r="C10" s="6"/>
      <c r="D10" s="6"/>
      <c r="F10" s="27" t="s">
        <v>72</v>
      </c>
      <c r="G10" s="27"/>
      <c r="H10" s="27"/>
      <c r="I10" s="28" t="str">
        <f aca="false">IFERROR(ROUND(M19,2),"")</f>
        <v/>
      </c>
      <c r="J10" s="29" t="str">
        <f aca="false">O19</f>
        <v>—</v>
      </c>
    </row>
    <row r="11" customFormat="false" ht="18" hidden="false" customHeight="true" outlineLevel="0" collapsed="false">
      <c r="A11" s="5" t="s">
        <v>73</v>
      </c>
      <c r="B11" s="6"/>
      <c r="C11" s="6"/>
      <c r="D11" s="6"/>
      <c r="F11" s="27" t="s">
        <v>74</v>
      </c>
      <c r="G11" s="27"/>
      <c r="H11" s="27"/>
      <c r="I11" s="28" t="str">
        <f aca="false">IFERROR(ROUND(M20,2),"")</f>
        <v/>
      </c>
      <c r="J11" s="29" t="str">
        <f aca="false">O20</f>
        <v>—</v>
      </c>
    </row>
    <row r="12" customFormat="false" ht="18" hidden="false" customHeight="true" outlineLevel="0" collapsed="false">
      <c r="A12" s="5" t="s">
        <v>75</v>
      </c>
      <c r="B12" s="6"/>
      <c r="C12" s="6"/>
      <c r="D12" s="6"/>
      <c r="F12" s="27" t="s">
        <v>76</v>
      </c>
      <c r="G12" s="27"/>
      <c r="H12" s="27"/>
      <c r="I12" s="28" t="str">
        <f aca="false">IFERROR(ROUND(M21,2),"")</f>
        <v/>
      </c>
      <c r="J12" s="29" t="str">
        <f aca="false">O21</f>
        <v>—</v>
      </c>
    </row>
    <row r="13" customFormat="false" ht="7.5" hidden="false" customHeight="true" outlineLevel="0" collapsed="false"/>
    <row r="14" customFormat="false" ht="30" hidden="false" customHeight="true" outlineLevel="0" collapsed="false">
      <c r="A14" s="12" t="s">
        <v>77</v>
      </c>
      <c r="B14" s="12" t="s">
        <v>78</v>
      </c>
      <c r="C14" s="12" t="s">
        <v>79</v>
      </c>
      <c r="D14" s="12" t="s">
        <v>80</v>
      </c>
      <c r="E14" s="12" t="s">
        <v>81</v>
      </c>
      <c r="F14" s="12" t="s">
        <v>82</v>
      </c>
      <c r="G14" s="12" t="s">
        <v>83</v>
      </c>
      <c r="H14" s="12" t="s">
        <v>84</v>
      </c>
      <c r="I14" s="12" t="s">
        <v>85</v>
      </c>
      <c r="J14" s="12" t="s">
        <v>86</v>
      </c>
      <c r="L14" s="13" t="s">
        <v>87</v>
      </c>
      <c r="M14" s="13" t="s">
        <v>88</v>
      </c>
      <c r="N14" s="13" t="s">
        <v>89</v>
      </c>
      <c r="O14" s="13" t="s">
        <v>90</v>
      </c>
    </row>
    <row r="15" customFormat="false" ht="21.75" hidden="false" customHeight="true" outlineLevel="0" collapsed="false">
      <c r="A15" s="22" t="s">
        <v>91</v>
      </c>
      <c r="B15" s="22"/>
      <c r="C15" s="22"/>
      <c r="D15" s="22"/>
      <c r="E15" s="22"/>
      <c r="F15" s="22"/>
      <c r="G15" s="22"/>
      <c r="H15" s="22"/>
      <c r="I15" s="22"/>
      <c r="J15" s="22"/>
      <c r="L15" s="18" t="n">
        <v>1</v>
      </c>
      <c r="M15" s="18" t="str">
        <f aca="false">IF(SUMPRODUCT((C16:C20&lt;&gt;"G")*ISNUMBER(D16:D20))=0,"",SUMPRODUCT((C16:C20&lt;&gt;"G")*ISNUMBER(D16:D20)*D16:D20)/SUMPRODUCT((C16:C20&lt;&gt;"G")*ISNUMBER(D16:D20)))</f>
        <v/>
      </c>
      <c r="N15" s="18" t="str">
        <f aca="false">IF(MIN(IF(ISNUMBER(D16),D16,999))=999,"",MIN(IF(ISNUMBER(D16),D16,999)))</f>
        <v/>
      </c>
      <c r="O15" s="18" t="str">
        <f aca="false">IF(M15="","—",IF(AND(ISNUMBER(N15),N15&lt;=2),"RED",IF(M15&gt;=4,"GREEN",IF(M15&gt;=2.5,"AMBER","RED"))))</f>
        <v>—</v>
      </c>
    </row>
    <row r="16" customFormat="false" ht="55.5" hidden="false" customHeight="true" outlineLevel="0" collapsed="false">
      <c r="A16" s="16" t="s">
        <v>92</v>
      </c>
      <c r="B16" s="14" t="s">
        <v>93</v>
      </c>
      <c r="C16" s="30" t="s">
        <v>79</v>
      </c>
      <c r="D16" s="31"/>
      <c r="E16" s="19" t="s">
        <v>94</v>
      </c>
      <c r="F16" s="19" t="s">
        <v>95</v>
      </c>
      <c r="G16" s="19" t="s">
        <v>96</v>
      </c>
      <c r="H16" s="16"/>
      <c r="I16" s="14"/>
      <c r="J16" s="14"/>
      <c r="L16" s="18" t="n">
        <v>2</v>
      </c>
      <c r="M16" s="18" t="str">
        <f aca="false">IF(SUMPRODUCT((C22:C26&lt;&gt;"G")*ISNUMBER(D22:D26))=0,"",SUMPRODUCT((C22:C26&lt;&gt;"G")*ISNUMBER(D22:D26)*D22:D26)/SUMPRODUCT((C22:C26&lt;&gt;"G")*ISNUMBER(D22:D26)))</f>
        <v/>
      </c>
      <c r="N16" s="18" t="str">
        <f aca="false">IF(MIN(IF(ISNUMBER(D23),D23,999))=999,"",MIN(IF(ISNUMBER(D23),D23,999)))</f>
        <v/>
      </c>
      <c r="O16" s="18" t="str">
        <f aca="false">IF(M16="","—",IF(AND(ISNUMBER(N16),N16&lt;=2),"RED",IF(M16&gt;=4,"GREEN",IF(M16&gt;=2.5,"AMBER","RED"))))</f>
        <v>—</v>
      </c>
    </row>
    <row r="17" customFormat="false" ht="55.5" hidden="false" customHeight="true" outlineLevel="0" collapsed="false">
      <c r="A17" s="16" t="s">
        <v>97</v>
      </c>
      <c r="B17" s="14" t="s">
        <v>98</v>
      </c>
      <c r="C17" s="16"/>
      <c r="D17" s="31"/>
      <c r="E17" s="19" t="s">
        <v>99</v>
      </c>
      <c r="F17" s="19" t="s">
        <v>100</v>
      </c>
      <c r="G17" s="19" t="s">
        <v>101</v>
      </c>
      <c r="H17" s="16"/>
      <c r="I17" s="14"/>
      <c r="J17" s="14"/>
      <c r="L17" s="18" t="n">
        <v>3</v>
      </c>
      <c r="M17" s="18" t="str">
        <f aca="false">IF(SUMPRODUCT((C28:C32&lt;&gt;"G")*ISNUMBER(D28:D32))=0,"",SUMPRODUCT((C28:C32&lt;&gt;"G")*ISNUMBER(D28:D32)*D28:D32)/SUMPRODUCT((C28:C32&lt;&gt;"G")*ISNUMBER(D28:D32)))</f>
        <v/>
      </c>
      <c r="N17" s="18" t="str">
        <f aca="false">IF(MIN(IF(ISNUMBER(D30),D30,999))=999,"",MIN(IF(ISNUMBER(D30),D30,999)))</f>
        <v/>
      </c>
      <c r="O17" s="18" t="str">
        <f aca="false">IF(M17="","—",IF(AND(ISNUMBER(N17),N17&lt;=2),"RED",IF(M17&gt;=4,"GREEN",IF(M17&gt;=2.5,"AMBER","RED"))))</f>
        <v>—</v>
      </c>
    </row>
    <row r="18" customFormat="false" ht="55.5" hidden="false" customHeight="true" outlineLevel="0" collapsed="false">
      <c r="A18" s="16" t="s">
        <v>102</v>
      </c>
      <c r="B18" s="14" t="s">
        <v>103</v>
      </c>
      <c r="C18" s="16"/>
      <c r="D18" s="31"/>
      <c r="E18" s="19" t="s">
        <v>104</v>
      </c>
      <c r="F18" s="19" t="s">
        <v>105</v>
      </c>
      <c r="G18" s="19" t="s">
        <v>106</v>
      </c>
      <c r="H18" s="16"/>
      <c r="I18" s="14"/>
      <c r="J18" s="14"/>
      <c r="L18" s="18" t="n">
        <v>4</v>
      </c>
      <c r="M18" s="18" t="str">
        <f aca="false">IF(SUMPRODUCT((C34:C38&lt;&gt;"G")*ISNUMBER(D34:D38))=0,"",SUMPRODUCT((C34:C38&lt;&gt;"G")*ISNUMBER(D34:D38)*D34:D38)/SUMPRODUCT((C34:C38&lt;&gt;"G")*ISNUMBER(D34:D38)))</f>
        <v/>
      </c>
      <c r="N18" s="18" t="str">
        <f aca="false">IF(MIN(IF(ISNUMBER(D34),D34,999))=999,"",MIN(IF(ISNUMBER(D34),D34,999)))</f>
        <v/>
      </c>
      <c r="O18" s="18" t="str">
        <f aca="false">IF(M18="","—",IF(AND(ISNUMBER(N18),N18&lt;=2),"RED",IF(M18&gt;=4,"GREEN",IF(M18&gt;=2.5,"AMBER","RED"))))</f>
        <v>—</v>
      </c>
    </row>
    <row r="19" customFormat="false" ht="55.5" hidden="false" customHeight="true" outlineLevel="0" collapsed="false">
      <c r="A19" s="16" t="s">
        <v>107</v>
      </c>
      <c r="B19" s="14" t="s">
        <v>108</v>
      </c>
      <c r="C19" s="16"/>
      <c r="D19" s="31"/>
      <c r="E19" s="19" t="s">
        <v>109</v>
      </c>
      <c r="F19" s="19" t="s">
        <v>110</v>
      </c>
      <c r="G19" s="19" t="s">
        <v>111</v>
      </c>
      <c r="H19" s="16"/>
      <c r="I19" s="14"/>
      <c r="J19" s="14"/>
      <c r="L19" s="18" t="n">
        <v>5</v>
      </c>
      <c r="M19" s="18" t="str">
        <f aca="false">IF(SUMPRODUCT((C40:C44&lt;&gt;"G")*ISNUMBER(D40:D44))=0,"",SUMPRODUCT((C40:C44&lt;&gt;"G")*ISNUMBER(D40:D44)*D40:D44)/SUMPRODUCT((C40:C44&lt;&gt;"G")*ISNUMBER(D40:D44)))</f>
        <v/>
      </c>
      <c r="N19" s="18" t="str">
        <f aca="false">IF(MIN(IF(ISNUMBER(D40),D40,999))=999,"",MIN(IF(ISNUMBER(D40),D40,999)))</f>
        <v/>
      </c>
      <c r="O19" s="18" t="str">
        <f aca="false">IF(M19="","—",IF(AND(ISNUMBER(N19),N19&lt;=2),"RED",IF(M19&gt;=4,"GREEN",IF(M19&gt;=2.5,"AMBER","RED"))))</f>
        <v>—</v>
      </c>
    </row>
    <row r="20" customFormat="false" ht="55.5" hidden="false" customHeight="true" outlineLevel="0" collapsed="false">
      <c r="A20" s="16" t="s">
        <v>112</v>
      </c>
      <c r="B20" s="14" t="s">
        <v>113</v>
      </c>
      <c r="C20" s="16"/>
      <c r="D20" s="31"/>
      <c r="E20" s="19" t="s">
        <v>114</v>
      </c>
      <c r="F20" s="19" t="s">
        <v>115</v>
      </c>
      <c r="G20" s="19" t="s">
        <v>116</v>
      </c>
      <c r="H20" s="16"/>
      <c r="I20" s="14"/>
      <c r="J20" s="14"/>
      <c r="L20" s="18" t="n">
        <v>6</v>
      </c>
      <c r="M20" s="18" t="str">
        <f aca="false">IF(SUMPRODUCT((C46:C50&lt;&gt;"G")*ISNUMBER(D46:D50))=0,"",SUMPRODUCT((C46:C50&lt;&gt;"G")*ISNUMBER(D46:D50)*D46:D50)/SUMPRODUCT((C46:C50&lt;&gt;"G")*ISNUMBER(D46:D50)))</f>
        <v/>
      </c>
      <c r="N20" s="18" t="str">
        <f aca="false">IF(MIN(IF(ISNUMBER(D46),D46,999))=999,"",MIN(IF(ISNUMBER(D46),D46,999)))</f>
        <v/>
      </c>
      <c r="O20" s="18" t="str">
        <f aca="false">IF(M20="","—",IF(AND(ISNUMBER(N20),N20&lt;=2),"RED",IF(M20&gt;=4,"GREEN",IF(M20&gt;=2.5,"AMBER","RED"))))</f>
        <v>—</v>
      </c>
    </row>
    <row r="21" customFormat="false" ht="21.75" hidden="false" customHeight="true" outlineLevel="0" collapsed="false">
      <c r="A21" s="22" t="s">
        <v>117</v>
      </c>
      <c r="B21" s="22"/>
      <c r="C21" s="22"/>
      <c r="D21" s="22"/>
      <c r="E21" s="22"/>
      <c r="F21" s="22"/>
      <c r="G21" s="22"/>
      <c r="H21" s="22"/>
      <c r="I21" s="22"/>
      <c r="J21" s="22"/>
      <c r="L21" s="18" t="n">
        <v>7</v>
      </c>
      <c r="M21" s="18" t="str">
        <f aca="false">IF(SUMPRODUCT((C52:C56&lt;&gt;"G")*ISNUMBER(D52:D56))=0,"",SUMPRODUCT((C52:C56&lt;&gt;"G")*ISNUMBER(D52:D56)*D52:D56)/SUMPRODUCT((C52:C56&lt;&gt;"G")*ISNUMBER(D52:D56)))</f>
        <v/>
      </c>
      <c r="N21" s="18" t="str">
        <f aca="false">IF(MIN(IF(ISNUMBER(D52),D52,999),IF(ISNUMBER(D56),D56,999))=999,"",MIN(IF(ISNUMBER(D52),D52,999),IF(ISNUMBER(D56),D56,999)))</f>
        <v/>
      </c>
      <c r="O21" s="18" t="str">
        <f aca="false">IF(M21="","—",IF(AND(ISNUMBER(N21),N21&lt;=2),"RED",IF(M21&gt;=4,"GREEN",IF(M21&gt;=2.5,"AMBER","RED"))))</f>
        <v>—</v>
      </c>
    </row>
    <row r="22" customFormat="false" ht="55.5" hidden="false" customHeight="true" outlineLevel="0" collapsed="false">
      <c r="A22" s="16" t="s">
        <v>118</v>
      </c>
      <c r="B22" s="14" t="s">
        <v>119</v>
      </c>
      <c r="C22" s="16"/>
      <c r="D22" s="31"/>
      <c r="E22" s="19" t="s">
        <v>120</v>
      </c>
      <c r="F22" s="19" t="s">
        <v>121</v>
      </c>
      <c r="G22" s="19" t="s">
        <v>122</v>
      </c>
      <c r="H22" s="16"/>
      <c r="I22" s="14"/>
      <c r="J22" s="14"/>
    </row>
    <row r="23" customFormat="false" ht="55.5" hidden="false" customHeight="true" outlineLevel="0" collapsed="false">
      <c r="A23" s="16" t="s">
        <v>123</v>
      </c>
      <c r="B23" s="14" t="s">
        <v>124</v>
      </c>
      <c r="C23" s="30" t="s">
        <v>79</v>
      </c>
      <c r="D23" s="31"/>
      <c r="E23" s="19" t="s">
        <v>125</v>
      </c>
      <c r="F23" s="19" t="s">
        <v>126</v>
      </c>
      <c r="G23" s="19" t="s">
        <v>127</v>
      </c>
      <c r="H23" s="16"/>
      <c r="I23" s="14"/>
      <c r="J23" s="14"/>
    </row>
    <row r="24" customFormat="false" ht="55.5" hidden="false" customHeight="true" outlineLevel="0" collapsed="false">
      <c r="A24" s="16" t="s">
        <v>128</v>
      </c>
      <c r="B24" s="14" t="s">
        <v>129</v>
      </c>
      <c r="C24" s="16"/>
      <c r="D24" s="31"/>
      <c r="E24" s="19" t="s">
        <v>130</v>
      </c>
      <c r="F24" s="19" t="s">
        <v>131</v>
      </c>
      <c r="G24" s="19" t="s">
        <v>132</v>
      </c>
      <c r="H24" s="16"/>
      <c r="I24" s="14"/>
      <c r="J24" s="14"/>
    </row>
    <row r="25" customFormat="false" ht="55.5" hidden="false" customHeight="true" outlineLevel="0" collapsed="false">
      <c r="A25" s="16" t="s">
        <v>133</v>
      </c>
      <c r="B25" s="14" t="s">
        <v>134</v>
      </c>
      <c r="C25" s="16"/>
      <c r="D25" s="31"/>
      <c r="E25" s="19" t="s">
        <v>135</v>
      </c>
      <c r="F25" s="19" t="s">
        <v>136</v>
      </c>
      <c r="G25" s="19" t="s">
        <v>137</v>
      </c>
      <c r="H25" s="16"/>
      <c r="I25" s="14"/>
      <c r="J25" s="14"/>
    </row>
    <row r="26" customFormat="false" ht="55.5" hidden="false" customHeight="true" outlineLevel="0" collapsed="false">
      <c r="A26" s="16" t="s">
        <v>138</v>
      </c>
      <c r="B26" s="14" t="s">
        <v>139</v>
      </c>
      <c r="C26" s="16"/>
      <c r="D26" s="31"/>
      <c r="E26" s="19" t="s">
        <v>140</v>
      </c>
      <c r="F26" s="19" t="s">
        <v>141</v>
      </c>
      <c r="G26" s="19" t="s">
        <v>142</v>
      </c>
      <c r="H26" s="16"/>
      <c r="I26" s="14"/>
      <c r="J26" s="14"/>
    </row>
    <row r="27" customFormat="false" ht="21.75" hidden="false" customHeight="true" outlineLevel="0" collapsed="false">
      <c r="A27" s="22" t="s">
        <v>143</v>
      </c>
      <c r="B27" s="22"/>
      <c r="C27" s="22"/>
      <c r="D27" s="22"/>
      <c r="E27" s="22"/>
      <c r="F27" s="22"/>
      <c r="G27" s="22"/>
      <c r="H27" s="22"/>
      <c r="I27" s="22"/>
      <c r="J27" s="22"/>
    </row>
    <row r="28" customFormat="false" ht="55.5" hidden="false" customHeight="true" outlineLevel="0" collapsed="false">
      <c r="A28" s="16" t="s">
        <v>144</v>
      </c>
      <c r="B28" s="14" t="s">
        <v>145</v>
      </c>
      <c r="C28" s="16"/>
      <c r="D28" s="31"/>
      <c r="E28" s="19" t="s">
        <v>146</v>
      </c>
      <c r="F28" s="19" t="s">
        <v>147</v>
      </c>
      <c r="G28" s="19" t="s">
        <v>148</v>
      </c>
      <c r="H28" s="16"/>
      <c r="I28" s="14"/>
      <c r="J28" s="14"/>
    </row>
    <row r="29" customFormat="false" ht="55.5" hidden="false" customHeight="true" outlineLevel="0" collapsed="false">
      <c r="A29" s="16" t="s">
        <v>149</v>
      </c>
      <c r="B29" s="14" t="s">
        <v>150</v>
      </c>
      <c r="C29" s="16"/>
      <c r="D29" s="31"/>
      <c r="E29" s="19" t="s">
        <v>151</v>
      </c>
      <c r="F29" s="19" t="s">
        <v>152</v>
      </c>
      <c r="G29" s="19" t="s">
        <v>153</v>
      </c>
      <c r="H29" s="16"/>
      <c r="I29" s="14"/>
      <c r="J29" s="14"/>
    </row>
    <row r="30" customFormat="false" ht="55.5" hidden="false" customHeight="true" outlineLevel="0" collapsed="false">
      <c r="A30" s="16" t="s">
        <v>154</v>
      </c>
      <c r="B30" s="14" t="s">
        <v>155</v>
      </c>
      <c r="C30" s="30" t="s">
        <v>79</v>
      </c>
      <c r="D30" s="31"/>
      <c r="E30" s="19" t="s">
        <v>156</v>
      </c>
      <c r="F30" s="19" t="s">
        <v>157</v>
      </c>
      <c r="G30" s="19" t="s">
        <v>158</v>
      </c>
      <c r="H30" s="16"/>
      <c r="I30" s="14"/>
      <c r="J30" s="14"/>
    </row>
    <row r="31" customFormat="false" ht="55.5" hidden="false" customHeight="true" outlineLevel="0" collapsed="false">
      <c r="A31" s="16" t="s">
        <v>159</v>
      </c>
      <c r="B31" s="14" t="s">
        <v>160</v>
      </c>
      <c r="C31" s="16"/>
      <c r="D31" s="31"/>
      <c r="E31" s="19" t="s">
        <v>161</v>
      </c>
      <c r="F31" s="19" t="s">
        <v>162</v>
      </c>
      <c r="G31" s="19" t="s">
        <v>163</v>
      </c>
      <c r="H31" s="16"/>
      <c r="I31" s="14"/>
      <c r="J31" s="14"/>
    </row>
    <row r="32" customFormat="false" ht="55.5" hidden="false" customHeight="true" outlineLevel="0" collapsed="false">
      <c r="A32" s="16" t="s">
        <v>164</v>
      </c>
      <c r="B32" s="14" t="s">
        <v>165</v>
      </c>
      <c r="C32" s="16"/>
      <c r="D32" s="31"/>
      <c r="E32" s="19" t="s">
        <v>166</v>
      </c>
      <c r="F32" s="19" t="s">
        <v>167</v>
      </c>
      <c r="G32" s="19" t="s">
        <v>168</v>
      </c>
      <c r="H32" s="16"/>
      <c r="I32" s="14"/>
      <c r="J32" s="14"/>
    </row>
    <row r="33" customFormat="false" ht="21.75" hidden="false" customHeight="true" outlineLevel="0" collapsed="false">
      <c r="A33" s="22" t="s">
        <v>169</v>
      </c>
      <c r="B33" s="22"/>
      <c r="C33" s="22"/>
      <c r="D33" s="22"/>
      <c r="E33" s="22"/>
      <c r="F33" s="22"/>
      <c r="G33" s="22"/>
      <c r="H33" s="22"/>
      <c r="I33" s="22"/>
      <c r="J33" s="22"/>
    </row>
    <row r="34" customFormat="false" ht="55.5" hidden="false" customHeight="true" outlineLevel="0" collapsed="false">
      <c r="A34" s="16" t="s">
        <v>170</v>
      </c>
      <c r="B34" s="14" t="s">
        <v>171</v>
      </c>
      <c r="C34" s="30" t="s">
        <v>79</v>
      </c>
      <c r="D34" s="31"/>
      <c r="E34" s="19" t="s">
        <v>172</v>
      </c>
      <c r="F34" s="19" t="s">
        <v>173</v>
      </c>
      <c r="G34" s="19" t="s">
        <v>174</v>
      </c>
      <c r="H34" s="16"/>
      <c r="I34" s="14"/>
      <c r="J34" s="14"/>
    </row>
    <row r="35" customFormat="false" ht="55.5" hidden="false" customHeight="true" outlineLevel="0" collapsed="false">
      <c r="A35" s="16" t="s">
        <v>175</v>
      </c>
      <c r="B35" s="14" t="s">
        <v>176</v>
      </c>
      <c r="C35" s="16"/>
      <c r="D35" s="31"/>
      <c r="E35" s="19" t="s">
        <v>177</v>
      </c>
      <c r="F35" s="19" t="s">
        <v>178</v>
      </c>
      <c r="G35" s="19" t="s">
        <v>179</v>
      </c>
      <c r="H35" s="16"/>
      <c r="I35" s="14"/>
      <c r="J35" s="14"/>
    </row>
    <row r="36" customFormat="false" ht="55.5" hidden="false" customHeight="true" outlineLevel="0" collapsed="false">
      <c r="A36" s="16" t="s">
        <v>180</v>
      </c>
      <c r="B36" s="14" t="s">
        <v>181</v>
      </c>
      <c r="C36" s="16"/>
      <c r="D36" s="31"/>
      <c r="E36" s="19" t="s">
        <v>182</v>
      </c>
      <c r="F36" s="19" t="s">
        <v>183</v>
      </c>
      <c r="G36" s="19" t="s">
        <v>184</v>
      </c>
      <c r="H36" s="16"/>
      <c r="I36" s="14"/>
      <c r="J36" s="14"/>
    </row>
    <row r="37" customFormat="false" ht="55.5" hidden="false" customHeight="true" outlineLevel="0" collapsed="false">
      <c r="A37" s="16" t="s">
        <v>185</v>
      </c>
      <c r="B37" s="14" t="s">
        <v>186</v>
      </c>
      <c r="C37" s="16"/>
      <c r="D37" s="31"/>
      <c r="E37" s="19" t="s">
        <v>187</v>
      </c>
      <c r="F37" s="19" t="s">
        <v>188</v>
      </c>
      <c r="G37" s="19" t="s">
        <v>189</v>
      </c>
      <c r="H37" s="16"/>
      <c r="I37" s="14"/>
      <c r="J37" s="14"/>
    </row>
    <row r="38" customFormat="false" ht="55.5" hidden="false" customHeight="true" outlineLevel="0" collapsed="false">
      <c r="A38" s="16" t="s">
        <v>190</v>
      </c>
      <c r="B38" s="14" t="s">
        <v>191</v>
      </c>
      <c r="C38" s="16"/>
      <c r="D38" s="31"/>
      <c r="E38" s="19" t="s">
        <v>192</v>
      </c>
      <c r="F38" s="19" t="s">
        <v>193</v>
      </c>
      <c r="G38" s="19" t="s">
        <v>194</v>
      </c>
      <c r="H38" s="16"/>
      <c r="I38" s="14"/>
      <c r="J38" s="14"/>
    </row>
    <row r="39" customFormat="false" ht="21.75" hidden="false" customHeight="true" outlineLevel="0" collapsed="false">
      <c r="A39" s="22" t="s">
        <v>195</v>
      </c>
      <c r="B39" s="22"/>
      <c r="C39" s="22"/>
      <c r="D39" s="22"/>
      <c r="E39" s="22"/>
      <c r="F39" s="22"/>
      <c r="G39" s="22"/>
      <c r="H39" s="22"/>
      <c r="I39" s="22"/>
      <c r="J39" s="22"/>
    </row>
    <row r="40" customFormat="false" ht="55.5" hidden="false" customHeight="true" outlineLevel="0" collapsed="false">
      <c r="A40" s="16" t="s">
        <v>196</v>
      </c>
      <c r="B40" s="14" t="s">
        <v>197</v>
      </c>
      <c r="C40" s="30" t="s">
        <v>79</v>
      </c>
      <c r="D40" s="31"/>
      <c r="E40" s="19" t="s">
        <v>198</v>
      </c>
      <c r="F40" s="19" t="s">
        <v>199</v>
      </c>
      <c r="G40" s="19" t="s">
        <v>200</v>
      </c>
      <c r="H40" s="16"/>
      <c r="I40" s="14"/>
      <c r="J40" s="14"/>
    </row>
    <row r="41" customFormat="false" ht="55.5" hidden="false" customHeight="true" outlineLevel="0" collapsed="false">
      <c r="A41" s="16" t="s">
        <v>201</v>
      </c>
      <c r="B41" s="14" t="s">
        <v>202</v>
      </c>
      <c r="C41" s="16"/>
      <c r="D41" s="31"/>
      <c r="E41" s="19" t="s">
        <v>203</v>
      </c>
      <c r="F41" s="19" t="s">
        <v>204</v>
      </c>
      <c r="G41" s="19" t="s">
        <v>205</v>
      </c>
      <c r="H41" s="16"/>
      <c r="I41" s="14"/>
      <c r="J41" s="14"/>
    </row>
    <row r="42" customFormat="false" ht="55.5" hidden="false" customHeight="true" outlineLevel="0" collapsed="false">
      <c r="A42" s="16" t="s">
        <v>206</v>
      </c>
      <c r="B42" s="14" t="s">
        <v>207</v>
      </c>
      <c r="C42" s="16"/>
      <c r="D42" s="31"/>
      <c r="E42" s="19" t="s">
        <v>208</v>
      </c>
      <c r="F42" s="19" t="s">
        <v>209</v>
      </c>
      <c r="G42" s="19" t="s">
        <v>210</v>
      </c>
      <c r="H42" s="16"/>
      <c r="I42" s="14"/>
      <c r="J42" s="14"/>
    </row>
    <row r="43" customFormat="false" ht="55.5" hidden="false" customHeight="true" outlineLevel="0" collapsed="false">
      <c r="A43" s="16" t="s">
        <v>211</v>
      </c>
      <c r="B43" s="14" t="s">
        <v>212</v>
      </c>
      <c r="C43" s="16"/>
      <c r="D43" s="31"/>
      <c r="E43" s="19" t="s">
        <v>213</v>
      </c>
      <c r="F43" s="19" t="s">
        <v>214</v>
      </c>
      <c r="G43" s="19" t="s">
        <v>215</v>
      </c>
      <c r="H43" s="16"/>
      <c r="I43" s="14"/>
      <c r="J43" s="14"/>
    </row>
    <row r="44" customFormat="false" ht="55.5" hidden="false" customHeight="true" outlineLevel="0" collapsed="false">
      <c r="A44" s="16" t="s">
        <v>216</v>
      </c>
      <c r="B44" s="14" t="s">
        <v>217</v>
      </c>
      <c r="C44" s="16"/>
      <c r="D44" s="31"/>
      <c r="E44" s="19" t="s">
        <v>218</v>
      </c>
      <c r="F44" s="19" t="s">
        <v>219</v>
      </c>
      <c r="G44" s="19" t="s">
        <v>220</v>
      </c>
      <c r="H44" s="16"/>
      <c r="I44" s="14"/>
      <c r="J44" s="14"/>
    </row>
    <row r="45" customFormat="false" ht="21.75" hidden="false" customHeight="true" outlineLevel="0" collapsed="false">
      <c r="A45" s="22" t="s">
        <v>221</v>
      </c>
      <c r="B45" s="22"/>
      <c r="C45" s="22"/>
      <c r="D45" s="22"/>
      <c r="E45" s="22"/>
      <c r="F45" s="22"/>
      <c r="G45" s="22"/>
      <c r="H45" s="22"/>
      <c r="I45" s="22"/>
      <c r="J45" s="22"/>
    </row>
    <row r="46" customFormat="false" ht="55.5" hidden="false" customHeight="true" outlineLevel="0" collapsed="false">
      <c r="A46" s="16" t="s">
        <v>222</v>
      </c>
      <c r="B46" s="14" t="s">
        <v>223</v>
      </c>
      <c r="C46" s="30" t="s">
        <v>79</v>
      </c>
      <c r="D46" s="31"/>
      <c r="E46" s="19" t="s">
        <v>224</v>
      </c>
      <c r="F46" s="19" t="s">
        <v>225</v>
      </c>
      <c r="G46" s="19" t="s">
        <v>226</v>
      </c>
      <c r="H46" s="16"/>
      <c r="I46" s="14"/>
      <c r="J46" s="14"/>
    </row>
    <row r="47" customFormat="false" ht="55.5" hidden="false" customHeight="true" outlineLevel="0" collapsed="false">
      <c r="A47" s="16" t="s">
        <v>227</v>
      </c>
      <c r="B47" s="14" t="s">
        <v>228</v>
      </c>
      <c r="C47" s="16"/>
      <c r="D47" s="31"/>
      <c r="E47" s="19" t="s">
        <v>229</v>
      </c>
      <c r="F47" s="19" t="s">
        <v>230</v>
      </c>
      <c r="G47" s="19" t="s">
        <v>231</v>
      </c>
      <c r="H47" s="16"/>
      <c r="I47" s="14"/>
      <c r="J47" s="14"/>
    </row>
    <row r="48" customFormat="false" ht="55.5" hidden="false" customHeight="true" outlineLevel="0" collapsed="false">
      <c r="A48" s="16" t="s">
        <v>232</v>
      </c>
      <c r="B48" s="14" t="s">
        <v>233</v>
      </c>
      <c r="C48" s="16"/>
      <c r="D48" s="31"/>
      <c r="E48" s="19" t="s">
        <v>234</v>
      </c>
      <c r="F48" s="19" t="s">
        <v>235</v>
      </c>
      <c r="G48" s="19" t="s">
        <v>236</v>
      </c>
      <c r="H48" s="16"/>
      <c r="I48" s="14"/>
      <c r="J48" s="14"/>
    </row>
    <row r="49" customFormat="false" ht="55.5" hidden="false" customHeight="true" outlineLevel="0" collapsed="false">
      <c r="A49" s="16" t="s">
        <v>237</v>
      </c>
      <c r="B49" s="14" t="s">
        <v>238</v>
      </c>
      <c r="C49" s="16"/>
      <c r="D49" s="31"/>
      <c r="E49" s="19" t="s">
        <v>239</v>
      </c>
      <c r="F49" s="19" t="s">
        <v>240</v>
      </c>
      <c r="G49" s="19" t="s">
        <v>241</v>
      </c>
      <c r="H49" s="16"/>
      <c r="I49" s="14"/>
      <c r="J49" s="14"/>
    </row>
    <row r="50" customFormat="false" ht="55.5" hidden="false" customHeight="true" outlineLevel="0" collapsed="false">
      <c r="A50" s="16" t="s">
        <v>242</v>
      </c>
      <c r="B50" s="14" t="s">
        <v>243</v>
      </c>
      <c r="C50" s="16"/>
      <c r="D50" s="31"/>
      <c r="E50" s="19" t="s">
        <v>244</v>
      </c>
      <c r="F50" s="19" t="s">
        <v>245</v>
      </c>
      <c r="G50" s="19" t="s">
        <v>246</v>
      </c>
      <c r="H50" s="16"/>
      <c r="I50" s="14"/>
      <c r="J50" s="14"/>
    </row>
    <row r="51" customFormat="false" ht="21.75" hidden="false" customHeight="true" outlineLevel="0" collapsed="false">
      <c r="A51" s="22" t="s">
        <v>247</v>
      </c>
      <c r="B51" s="22"/>
      <c r="C51" s="22"/>
      <c r="D51" s="22"/>
      <c r="E51" s="22"/>
      <c r="F51" s="22"/>
      <c r="G51" s="22"/>
      <c r="H51" s="22"/>
      <c r="I51" s="22"/>
      <c r="J51" s="22"/>
    </row>
    <row r="52" customFormat="false" ht="55.5" hidden="false" customHeight="true" outlineLevel="0" collapsed="false">
      <c r="A52" s="16" t="s">
        <v>248</v>
      </c>
      <c r="B52" s="14" t="s">
        <v>249</v>
      </c>
      <c r="C52" s="30" t="s">
        <v>79</v>
      </c>
      <c r="D52" s="31"/>
      <c r="E52" s="19" t="s">
        <v>250</v>
      </c>
      <c r="F52" s="19" t="s">
        <v>251</v>
      </c>
      <c r="G52" s="19" t="s">
        <v>252</v>
      </c>
      <c r="H52" s="16"/>
      <c r="I52" s="14"/>
      <c r="J52" s="14"/>
    </row>
    <row r="53" customFormat="false" ht="55.5" hidden="false" customHeight="true" outlineLevel="0" collapsed="false">
      <c r="A53" s="16" t="s">
        <v>253</v>
      </c>
      <c r="B53" s="14" t="s">
        <v>254</v>
      </c>
      <c r="C53" s="16"/>
      <c r="D53" s="31"/>
      <c r="E53" s="19" t="s">
        <v>255</v>
      </c>
      <c r="F53" s="19" t="s">
        <v>256</v>
      </c>
      <c r="G53" s="19" t="s">
        <v>257</v>
      </c>
      <c r="H53" s="16"/>
      <c r="I53" s="14"/>
      <c r="J53" s="14"/>
    </row>
    <row r="54" customFormat="false" ht="55.5" hidden="false" customHeight="true" outlineLevel="0" collapsed="false">
      <c r="A54" s="16" t="s">
        <v>258</v>
      </c>
      <c r="B54" s="14" t="s">
        <v>259</v>
      </c>
      <c r="C54" s="16"/>
      <c r="D54" s="31"/>
      <c r="E54" s="19" t="s">
        <v>260</v>
      </c>
      <c r="F54" s="19" t="s">
        <v>261</v>
      </c>
      <c r="G54" s="19" t="s">
        <v>262</v>
      </c>
      <c r="H54" s="16"/>
      <c r="I54" s="14"/>
      <c r="J54" s="14"/>
    </row>
    <row r="55" customFormat="false" ht="55.5" hidden="false" customHeight="true" outlineLevel="0" collapsed="false">
      <c r="A55" s="16" t="s">
        <v>263</v>
      </c>
      <c r="B55" s="14" t="s">
        <v>264</v>
      </c>
      <c r="C55" s="16"/>
      <c r="D55" s="31"/>
      <c r="E55" s="19" t="s">
        <v>265</v>
      </c>
      <c r="F55" s="19" t="s">
        <v>266</v>
      </c>
      <c r="G55" s="19" t="s">
        <v>267</v>
      </c>
      <c r="H55" s="16"/>
      <c r="I55" s="14"/>
      <c r="J55" s="14"/>
    </row>
    <row r="56" customFormat="false" ht="55.5" hidden="false" customHeight="true" outlineLevel="0" collapsed="false">
      <c r="A56" s="16" t="s">
        <v>268</v>
      </c>
      <c r="B56" s="14" t="s">
        <v>269</v>
      </c>
      <c r="C56" s="30" t="s">
        <v>79</v>
      </c>
      <c r="D56" s="31"/>
      <c r="E56" s="19" t="s">
        <v>270</v>
      </c>
      <c r="F56" s="19" t="s">
        <v>271</v>
      </c>
      <c r="G56" s="19" t="s">
        <v>272</v>
      </c>
      <c r="H56" s="16"/>
      <c r="I56" s="14"/>
      <c r="J56" s="14"/>
    </row>
  </sheetData>
  <mergeCells count="30">
    <mergeCell ref="A1:J1"/>
    <mergeCell ref="B3:D3"/>
    <mergeCell ref="F3:G3"/>
    <mergeCell ref="H3:J3"/>
    <mergeCell ref="B4:D4"/>
    <mergeCell ref="F4:G4"/>
    <mergeCell ref="H4:J4"/>
    <mergeCell ref="B5:D5"/>
    <mergeCell ref="F5:J5"/>
    <mergeCell ref="B6:D6"/>
    <mergeCell ref="F6:H6"/>
    <mergeCell ref="B7:D7"/>
    <mergeCell ref="F7:H7"/>
    <mergeCell ref="B8:D8"/>
    <mergeCell ref="F8:H8"/>
    <mergeCell ref="B9:D9"/>
    <mergeCell ref="F9:H9"/>
    <mergeCell ref="B10:D10"/>
    <mergeCell ref="F10:H10"/>
    <mergeCell ref="B11:D11"/>
    <mergeCell ref="F11:H11"/>
    <mergeCell ref="B12:D12"/>
    <mergeCell ref="F12:H12"/>
    <mergeCell ref="A15:J15"/>
    <mergeCell ref="A21:J21"/>
    <mergeCell ref="A27:J27"/>
    <mergeCell ref="A33:J33"/>
    <mergeCell ref="A39:J39"/>
    <mergeCell ref="A45:J45"/>
    <mergeCell ref="A51:J51"/>
  </mergeCells>
  <conditionalFormatting sqref="J6:J12">
    <cfRule type="cellIs" priority="2" operator="equal" aboveAverage="0" equalAverage="0" bottom="0" percent="0" rank="0" text="" dxfId="3">
      <formula>"GREEN"</formula>
    </cfRule>
    <cfRule type="cellIs" priority="3" operator="equal" aboveAverage="0" equalAverage="0" bottom="0" percent="0" rank="0" text="" dxfId="4">
      <formula>"AMBER"</formula>
    </cfRule>
    <cfRule type="cellIs" priority="4" operator="equal" aboveAverage="0" equalAverage="0" bottom="0" percent="0" rank="0" text="" dxfId="5">
      <formula>"RED"</formula>
    </cfRule>
  </conditionalFormatting>
  <conditionalFormatting sqref="H3">
    <cfRule type="cellIs" priority="5" operator="equal" aboveAverage="0" equalAverage="0" bottom="0" percent="0" rank="0" text="" dxfId="3">
      <formula>"GREEN"</formula>
    </cfRule>
    <cfRule type="cellIs" priority="6" operator="equal" aboveAverage="0" equalAverage="0" bottom="0" percent="0" rank="0" text="" dxfId="4">
      <formula>"AMBER"</formula>
    </cfRule>
    <cfRule type="cellIs" priority="7" operator="equal" aboveAverage="0" equalAverage="0" bottom="0" percent="0" rank="0" text="" dxfId="5">
      <formula>"RED"</formula>
    </cfRule>
  </conditionalFormatting>
  <conditionalFormatting sqref="D15:D56">
    <cfRule type="cellIs" priority="8" operator="lessThanOrEqual" aboveAverage="0" equalAverage="0" bottom="0" percent="0" rank="0" text="" dxfId="5">
      <formula>2</formula>
    </cfRule>
    <cfRule type="cellIs" priority="9" operator="equal" aboveAverage="0" equalAverage="0" bottom="0" percent="0" rank="0" text="" dxfId="4">
      <formula>3</formula>
    </cfRule>
    <cfRule type="cellIs" priority="10" operator="greaterThanOrEqual" aboveAverage="0" equalAverage="0" bottom="0" percent="0" rank="0" text="" dxfId="3">
      <formula>4</formula>
    </cfRule>
  </conditionalFormatting>
  <conditionalFormatting sqref="H15:H56">
    <cfRule type="cellIs" priority="11" operator="equal" aboveAverage="0" equalAverage="0" bottom="0" percent="0" rank="0" text="" dxfId="5">
      <formula>"Absent"</formula>
    </cfRule>
    <cfRule type="cellIs" priority="12" operator="equal" aboveAverage="0" equalAverage="0" bottom="0" percent="0" rank="0" text="" dxfId="4">
      <formula>"Partial"</formula>
    </cfRule>
    <cfRule type="cellIs" priority="13" operator="equal" aboveAverage="0" equalAverage="0" bottom="0" percent="0" rank="0" text="" dxfId="3">
      <formula>"Present"</formula>
    </cfRule>
  </conditionalFormatting>
  <dataValidations count="5">
    <dataValidation allowBlank="true" error="Pick a value from the drop-down: 1–5 or N/A." errorStyle="stop" errorTitle="Invalid score" operator="between" showDropDown="false" showErrorMessage="true" showInputMessage="false" sqref="D15:D56" type="list">
      <formula1>ScoreList</formula1>
      <formula2>0</formula2>
    </dataValidation>
    <dataValidation allowBlank="true" error="Pick Present, Partial, or Absent." errorStyle="stop" errorTitle="Invalid status" operator="between" showDropDown="false" showErrorMessage="true" showInputMessage="false" sqref="H15:H56" type="list">
      <formula1>EvidenceList</formula1>
      <formula2>0</formula2>
    </dataValidation>
    <dataValidation allowBlank="true" errorStyle="stop" operator="between" showDropDown="false" showErrorMessage="false" showInputMessage="false" sqref="B8" type="list">
      <formula1>ModeList</formula1>
      <formula2>0</formula2>
    </dataValidation>
    <dataValidation allowBlank="true" errorStyle="stop" operator="between" showDropDown="false" showErrorMessage="false" showInputMessage="false" sqref="B9" type="list">
      <formula1>DepClassList</formula1>
      <formula2>0</formula2>
    </dataValidation>
    <dataValidation allowBlank="true" errorStyle="stop" operator="between" showDropDown="false" showErrorMessage="false" showInputMessage="false" sqref="B10" type="list">
      <formula1>TrajectoryList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5"/>
    <col collapsed="false" customWidth="true" hidden="false" outlineLevel="0" max="4" min="4" style="0" width="9"/>
    <col collapsed="false" customWidth="true" hidden="false" outlineLevel="0" max="7" min="5" style="0" width="30"/>
    <col collapsed="false" customWidth="true" hidden="false" outlineLevel="0" max="8" min="8" style="0" width="14"/>
    <col collapsed="false" customWidth="true" hidden="false" outlineLevel="0" max="9" min="9" style="0" width="42"/>
    <col collapsed="false" customWidth="true" hidden="false" outlineLevel="0" max="10" min="10" style="0" width="18"/>
    <col collapsed="false" customWidth="true" hidden="true" outlineLevel="0" max="15" min="12" style="0" width="13"/>
  </cols>
  <sheetData>
    <row r="1" customFormat="false" ht="30" hidden="false" customHeight="true" outlineLevel="0" collapsed="false">
      <c r="A1" s="1" t="s">
        <v>275</v>
      </c>
      <c r="B1" s="1"/>
      <c r="C1" s="1"/>
      <c r="D1" s="1"/>
      <c r="E1" s="1"/>
      <c r="F1" s="1"/>
      <c r="G1" s="1"/>
      <c r="H1" s="1"/>
      <c r="I1" s="1"/>
      <c r="J1" s="1"/>
    </row>
    <row r="3" customFormat="false" ht="27.75" hidden="false" customHeight="true" outlineLevel="0" collapsed="false">
      <c r="A3" s="5" t="s">
        <v>40</v>
      </c>
      <c r="B3" s="6"/>
      <c r="C3" s="6"/>
      <c r="D3" s="6"/>
      <c r="F3" s="24" t="s">
        <v>50</v>
      </c>
      <c r="G3" s="24"/>
      <c r="H3" s="25" t="str">
        <f aca="false">IF(COUNTIF(J6:J12,"RED")&gt;0,"RED",IF(COUNTIF(J6:J12,"AMBER")&gt;0,"AMBER",IF(COUNTIF(J6:J12,"GREEN")&gt;0,"GREEN","—")))</f>
        <v>—</v>
      </c>
      <c r="I3" s="25"/>
      <c r="J3" s="25"/>
    </row>
    <row r="4" customFormat="false" ht="19.5" hidden="false" customHeight="true" outlineLevel="0" collapsed="false">
      <c r="A4" s="5" t="s">
        <v>60</v>
      </c>
      <c r="B4" s="6"/>
      <c r="C4" s="6"/>
      <c r="D4" s="6"/>
      <c r="F4" s="8" t="s">
        <v>61</v>
      </c>
      <c r="G4" s="8"/>
      <c r="H4" s="26" t="str">
        <f aca="false">IF(COUNTIF(J6:J12,"RED")&gt;0,INDEX(F6:F12,MATCH("RED",J6:J12,0)),IF(COUNTIF(J6:J12,"AMBER")&gt;0,INDEX(F6:F12,MATCH("AMBER",J6:J12,0)),IF(COUNTIF(J6:J12,"GREEN")&gt;0,INDEX(F6:F12,MATCH("GREEN",J6:J12,0)),"—")))</f>
        <v>—</v>
      </c>
      <c r="I4" s="26"/>
      <c r="J4" s="26"/>
    </row>
    <row r="5" customFormat="false" ht="19.5" hidden="false" customHeight="true" outlineLevel="0" collapsed="false">
      <c r="A5" s="5" t="s">
        <v>62</v>
      </c>
      <c r="B5" s="6"/>
      <c r="C5" s="6"/>
      <c r="D5" s="6"/>
      <c r="F5" s="8" t="s">
        <v>63</v>
      </c>
      <c r="G5" s="8"/>
      <c r="H5" s="8"/>
      <c r="I5" s="8"/>
      <c r="J5" s="8"/>
    </row>
    <row r="6" customFormat="false" ht="18" hidden="false" customHeight="true" outlineLevel="0" collapsed="false">
      <c r="A6" s="5" t="s">
        <v>64</v>
      </c>
      <c r="B6" s="6"/>
      <c r="C6" s="6"/>
      <c r="D6" s="6"/>
      <c r="F6" s="27" t="s">
        <v>65</v>
      </c>
      <c r="G6" s="27"/>
      <c r="H6" s="27"/>
      <c r="I6" s="28" t="str">
        <f aca="false">IFERROR(ROUND(M15,2),"")</f>
        <v/>
      </c>
      <c r="J6" s="29" t="str">
        <f aca="false">O15</f>
        <v>—</v>
      </c>
    </row>
    <row r="7" customFormat="false" ht="18" hidden="false" customHeight="true" outlineLevel="0" collapsed="false">
      <c r="A7" s="5" t="s">
        <v>66</v>
      </c>
      <c r="B7" s="6"/>
      <c r="C7" s="6"/>
      <c r="D7" s="6"/>
      <c r="F7" s="27" t="s">
        <v>67</v>
      </c>
      <c r="G7" s="27"/>
      <c r="H7" s="27"/>
      <c r="I7" s="28" t="str">
        <f aca="false">IFERROR(ROUND(M16,2),"")</f>
        <v/>
      </c>
      <c r="J7" s="29" t="str">
        <f aca="false">O16</f>
        <v>—</v>
      </c>
    </row>
    <row r="8" customFormat="false" ht="18" hidden="false" customHeight="true" outlineLevel="0" collapsed="false">
      <c r="A8" s="5" t="s">
        <v>35</v>
      </c>
      <c r="B8" s="6"/>
      <c r="C8" s="6"/>
      <c r="D8" s="6"/>
      <c r="F8" s="27" t="s">
        <v>68</v>
      </c>
      <c r="G8" s="27"/>
      <c r="H8" s="27"/>
      <c r="I8" s="28" t="str">
        <f aca="false">IFERROR(ROUND(M17,2),"")</f>
        <v/>
      </c>
      <c r="J8" s="29" t="str">
        <f aca="false">O17</f>
        <v>—</v>
      </c>
    </row>
    <row r="9" customFormat="false" ht="18" hidden="false" customHeight="true" outlineLevel="0" collapsed="false">
      <c r="A9" s="5" t="s">
        <v>69</v>
      </c>
      <c r="B9" s="6"/>
      <c r="C9" s="6"/>
      <c r="D9" s="6"/>
      <c r="F9" s="27" t="s">
        <v>70</v>
      </c>
      <c r="G9" s="27"/>
      <c r="H9" s="27"/>
      <c r="I9" s="28" t="str">
        <f aca="false">IFERROR(ROUND(M18,2),"")</f>
        <v/>
      </c>
      <c r="J9" s="29" t="str">
        <f aca="false">O18</f>
        <v>—</v>
      </c>
    </row>
    <row r="10" customFormat="false" ht="18" hidden="false" customHeight="true" outlineLevel="0" collapsed="false">
      <c r="A10" s="5" t="s">
        <v>71</v>
      </c>
      <c r="B10" s="6"/>
      <c r="C10" s="6"/>
      <c r="D10" s="6"/>
      <c r="F10" s="27" t="s">
        <v>72</v>
      </c>
      <c r="G10" s="27"/>
      <c r="H10" s="27"/>
      <c r="I10" s="28" t="str">
        <f aca="false">IFERROR(ROUND(M19,2),"")</f>
        <v/>
      </c>
      <c r="J10" s="29" t="str">
        <f aca="false">O19</f>
        <v>—</v>
      </c>
    </row>
    <row r="11" customFormat="false" ht="18" hidden="false" customHeight="true" outlineLevel="0" collapsed="false">
      <c r="A11" s="5" t="s">
        <v>73</v>
      </c>
      <c r="B11" s="6"/>
      <c r="C11" s="6"/>
      <c r="D11" s="6"/>
      <c r="F11" s="27" t="s">
        <v>74</v>
      </c>
      <c r="G11" s="27"/>
      <c r="H11" s="27"/>
      <c r="I11" s="28" t="str">
        <f aca="false">IFERROR(ROUND(M20,2),"")</f>
        <v/>
      </c>
      <c r="J11" s="29" t="str">
        <f aca="false">O20</f>
        <v>—</v>
      </c>
    </row>
    <row r="12" customFormat="false" ht="18" hidden="false" customHeight="true" outlineLevel="0" collapsed="false">
      <c r="A12" s="5" t="s">
        <v>75</v>
      </c>
      <c r="B12" s="6"/>
      <c r="C12" s="6"/>
      <c r="D12" s="6"/>
      <c r="F12" s="27" t="s">
        <v>76</v>
      </c>
      <c r="G12" s="27"/>
      <c r="H12" s="27"/>
      <c r="I12" s="28" t="str">
        <f aca="false">IFERROR(ROUND(M21,2),"")</f>
        <v/>
      </c>
      <c r="J12" s="29" t="str">
        <f aca="false">O21</f>
        <v>—</v>
      </c>
    </row>
    <row r="13" customFormat="false" ht="7.5" hidden="false" customHeight="true" outlineLevel="0" collapsed="false"/>
    <row r="14" customFormat="false" ht="30" hidden="false" customHeight="true" outlineLevel="0" collapsed="false">
      <c r="A14" s="12" t="s">
        <v>77</v>
      </c>
      <c r="B14" s="12" t="s">
        <v>78</v>
      </c>
      <c r="C14" s="12" t="s">
        <v>79</v>
      </c>
      <c r="D14" s="12" t="s">
        <v>80</v>
      </c>
      <c r="E14" s="12" t="s">
        <v>81</v>
      </c>
      <c r="F14" s="12" t="s">
        <v>82</v>
      </c>
      <c r="G14" s="12" t="s">
        <v>83</v>
      </c>
      <c r="H14" s="12" t="s">
        <v>84</v>
      </c>
      <c r="I14" s="12" t="s">
        <v>85</v>
      </c>
      <c r="J14" s="12" t="s">
        <v>86</v>
      </c>
      <c r="L14" s="13" t="s">
        <v>87</v>
      </c>
      <c r="M14" s="13" t="s">
        <v>88</v>
      </c>
      <c r="N14" s="13" t="s">
        <v>89</v>
      </c>
      <c r="O14" s="13" t="s">
        <v>90</v>
      </c>
    </row>
    <row r="15" customFormat="false" ht="21.75" hidden="false" customHeight="true" outlineLevel="0" collapsed="false">
      <c r="A15" s="22" t="s">
        <v>91</v>
      </c>
      <c r="B15" s="22"/>
      <c r="C15" s="22"/>
      <c r="D15" s="22"/>
      <c r="E15" s="22"/>
      <c r="F15" s="22"/>
      <c r="G15" s="22"/>
      <c r="H15" s="22"/>
      <c r="I15" s="22"/>
      <c r="J15" s="22"/>
      <c r="L15" s="18" t="n">
        <v>1</v>
      </c>
      <c r="M15" s="18" t="str">
        <f aca="false">IF(SUMPRODUCT((C16:C20&lt;&gt;"G")*ISNUMBER(D16:D20))=0,"",SUMPRODUCT((C16:C20&lt;&gt;"G")*ISNUMBER(D16:D20)*D16:D20)/SUMPRODUCT((C16:C20&lt;&gt;"G")*ISNUMBER(D16:D20)))</f>
        <v/>
      </c>
      <c r="N15" s="18" t="str">
        <f aca="false">IF(MIN(IF(ISNUMBER(D16),D16,999))=999,"",MIN(IF(ISNUMBER(D16),D16,999)))</f>
        <v/>
      </c>
      <c r="O15" s="18" t="str">
        <f aca="false">IF(M15="","—",IF(AND(ISNUMBER(N15),N15&lt;=2),"RED",IF(M15&gt;=4,"GREEN",IF(M15&gt;=2.5,"AMBER","RED"))))</f>
        <v>—</v>
      </c>
    </row>
    <row r="16" customFormat="false" ht="55.5" hidden="false" customHeight="true" outlineLevel="0" collapsed="false">
      <c r="A16" s="16" t="s">
        <v>92</v>
      </c>
      <c r="B16" s="14" t="s">
        <v>93</v>
      </c>
      <c r="C16" s="30" t="s">
        <v>79</v>
      </c>
      <c r="D16" s="31"/>
      <c r="E16" s="19" t="s">
        <v>94</v>
      </c>
      <c r="F16" s="19" t="s">
        <v>95</v>
      </c>
      <c r="G16" s="19" t="s">
        <v>96</v>
      </c>
      <c r="H16" s="16"/>
      <c r="I16" s="14"/>
      <c r="J16" s="14"/>
      <c r="L16" s="18" t="n">
        <v>2</v>
      </c>
      <c r="M16" s="18" t="str">
        <f aca="false">IF(SUMPRODUCT((C22:C26&lt;&gt;"G")*ISNUMBER(D22:D26))=0,"",SUMPRODUCT((C22:C26&lt;&gt;"G")*ISNUMBER(D22:D26)*D22:D26)/SUMPRODUCT((C22:C26&lt;&gt;"G")*ISNUMBER(D22:D26)))</f>
        <v/>
      </c>
      <c r="N16" s="18" t="str">
        <f aca="false">IF(MIN(IF(ISNUMBER(D23),D23,999))=999,"",MIN(IF(ISNUMBER(D23),D23,999)))</f>
        <v/>
      </c>
      <c r="O16" s="18" t="str">
        <f aca="false">IF(M16="","—",IF(AND(ISNUMBER(N16),N16&lt;=2),"RED",IF(M16&gt;=4,"GREEN",IF(M16&gt;=2.5,"AMBER","RED"))))</f>
        <v>—</v>
      </c>
    </row>
    <row r="17" customFormat="false" ht="55.5" hidden="false" customHeight="true" outlineLevel="0" collapsed="false">
      <c r="A17" s="16" t="s">
        <v>97</v>
      </c>
      <c r="B17" s="14" t="s">
        <v>98</v>
      </c>
      <c r="C17" s="16"/>
      <c r="D17" s="31"/>
      <c r="E17" s="19" t="s">
        <v>99</v>
      </c>
      <c r="F17" s="19" t="s">
        <v>100</v>
      </c>
      <c r="G17" s="19" t="s">
        <v>101</v>
      </c>
      <c r="H17" s="16"/>
      <c r="I17" s="14"/>
      <c r="J17" s="14"/>
      <c r="L17" s="18" t="n">
        <v>3</v>
      </c>
      <c r="M17" s="18" t="str">
        <f aca="false">IF(SUMPRODUCT((C28:C32&lt;&gt;"G")*ISNUMBER(D28:D32))=0,"",SUMPRODUCT((C28:C32&lt;&gt;"G")*ISNUMBER(D28:D32)*D28:D32)/SUMPRODUCT((C28:C32&lt;&gt;"G")*ISNUMBER(D28:D32)))</f>
        <v/>
      </c>
      <c r="N17" s="18" t="str">
        <f aca="false">IF(MIN(IF(ISNUMBER(D30),D30,999))=999,"",MIN(IF(ISNUMBER(D30),D30,999)))</f>
        <v/>
      </c>
      <c r="O17" s="18" t="str">
        <f aca="false">IF(M17="","—",IF(AND(ISNUMBER(N17),N17&lt;=2),"RED",IF(M17&gt;=4,"GREEN",IF(M17&gt;=2.5,"AMBER","RED"))))</f>
        <v>—</v>
      </c>
    </row>
    <row r="18" customFormat="false" ht="55.5" hidden="false" customHeight="true" outlineLevel="0" collapsed="false">
      <c r="A18" s="16" t="s">
        <v>102</v>
      </c>
      <c r="B18" s="14" t="s">
        <v>103</v>
      </c>
      <c r="C18" s="16"/>
      <c r="D18" s="31"/>
      <c r="E18" s="19" t="s">
        <v>104</v>
      </c>
      <c r="F18" s="19" t="s">
        <v>105</v>
      </c>
      <c r="G18" s="19" t="s">
        <v>106</v>
      </c>
      <c r="H18" s="16"/>
      <c r="I18" s="14"/>
      <c r="J18" s="14"/>
      <c r="L18" s="18" t="n">
        <v>4</v>
      </c>
      <c r="M18" s="18" t="str">
        <f aca="false">IF(SUMPRODUCT((C34:C38&lt;&gt;"G")*ISNUMBER(D34:D38))=0,"",SUMPRODUCT((C34:C38&lt;&gt;"G")*ISNUMBER(D34:D38)*D34:D38)/SUMPRODUCT((C34:C38&lt;&gt;"G")*ISNUMBER(D34:D38)))</f>
        <v/>
      </c>
      <c r="N18" s="18" t="str">
        <f aca="false">IF(MIN(IF(ISNUMBER(D34),D34,999))=999,"",MIN(IF(ISNUMBER(D34),D34,999)))</f>
        <v/>
      </c>
      <c r="O18" s="18" t="str">
        <f aca="false">IF(M18="","—",IF(AND(ISNUMBER(N18),N18&lt;=2),"RED",IF(M18&gt;=4,"GREEN",IF(M18&gt;=2.5,"AMBER","RED"))))</f>
        <v>—</v>
      </c>
    </row>
    <row r="19" customFormat="false" ht="55.5" hidden="false" customHeight="true" outlineLevel="0" collapsed="false">
      <c r="A19" s="16" t="s">
        <v>107</v>
      </c>
      <c r="B19" s="14" t="s">
        <v>108</v>
      </c>
      <c r="C19" s="16"/>
      <c r="D19" s="31"/>
      <c r="E19" s="19" t="s">
        <v>109</v>
      </c>
      <c r="F19" s="19" t="s">
        <v>110</v>
      </c>
      <c r="G19" s="19" t="s">
        <v>111</v>
      </c>
      <c r="H19" s="16"/>
      <c r="I19" s="14"/>
      <c r="J19" s="14"/>
      <c r="L19" s="18" t="n">
        <v>5</v>
      </c>
      <c r="M19" s="18" t="str">
        <f aca="false">IF(SUMPRODUCT((C40:C44&lt;&gt;"G")*ISNUMBER(D40:D44))=0,"",SUMPRODUCT((C40:C44&lt;&gt;"G")*ISNUMBER(D40:D44)*D40:D44)/SUMPRODUCT((C40:C44&lt;&gt;"G")*ISNUMBER(D40:D44)))</f>
        <v/>
      </c>
      <c r="N19" s="18" t="str">
        <f aca="false">IF(MIN(IF(ISNUMBER(D40),D40,999))=999,"",MIN(IF(ISNUMBER(D40),D40,999)))</f>
        <v/>
      </c>
      <c r="O19" s="18" t="str">
        <f aca="false">IF(M19="","—",IF(AND(ISNUMBER(N19),N19&lt;=2),"RED",IF(M19&gt;=4,"GREEN",IF(M19&gt;=2.5,"AMBER","RED"))))</f>
        <v>—</v>
      </c>
    </row>
    <row r="20" customFormat="false" ht="55.5" hidden="false" customHeight="true" outlineLevel="0" collapsed="false">
      <c r="A20" s="16" t="s">
        <v>112</v>
      </c>
      <c r="B20" s="14" t="s">
        <v>113</v>
      </c>
      <c r="C20" s="16"/>
      <c r="D20" s="31"/>
      <c r="E20" s="19" t="s">
        <v>114</v>
      </c>
      <c r="F20" s="19" t="s">
        <v>115</v>
      </c>
      <c r="G20" s="19" t="s">
        <v>116</v>
      </c>
      <c r="H20" s="16"/>
      <c r="I20" s="14"/>
      <c r="J20" s="14"/>
      <c r="L20" s="18" t="n">
        <v>6</v>
      </c>
      <c r="M20" s="18" t="str">
        <f aca="false">IF(SUMPRODUCT((C46:C50&lt;&gt;"G")*ISNUMBER(D46:D50))=0,"",SUMPRODUCT((C46:C50&lt;&gt;"G")*ISNUMBER(D46:D50)*D46:D50)/SUMPRODUCT((C46:C50&lt;&gt;"G")*ISNUMBER(D46:D50)))</f>
        <v/>
      </c>
      <c r="N20" s="18" t="str">
        <f aca="false">IF(MIN(IF(ISNUMBER(D46),D46,999))=999,"",MIN(IF(ISNUMBER(D46),D46,999)))</f>
        <v/>
      </c>
      <c r="O20" s="18" t="str">
        <f aca="false">IF(M20="","—",IF(AND(ISNUMBER(N20),N20&lt;=2),"RED",IF(M20&gt;=4,"GREEN",IF(M20&gt;=2.5,"AMBER","RED"))))</f>
        <v>—</v>
      </c>
    </row>
    <row r="21" customFormat="false" ht="21.75" hidden="false" customHeight="true" outlineLevel="0" collapsed="false">
      <c r="A21" s="22" t="s">
        <v>117</v>
      </c>
      <c r="B21" s="22"/>
      <c r="C21" s="22"/>
      <c r="D21" s="22"/>
      <c r="E21" s="22"/>
      <c r="F21" s="22"/>
      <c r="G21" s="22"/>
      <c r="H21" s="22"/>
      <c r="I21" s="22"/>
      <c r="J21" s="22"/>
      <c r="L21" s="18" t="n">
        <v>7</v>
      </c>
      <c r="M21" s="18" t="str">
        <f aca="false">IF(SUMPRODUCT((C52:C56&lt;&gt;"G")*ISNUMBER(D52:D56))=0,"",SUMPRODUCT((C52:C56&lt;&gt;"G")*ISNUMBER(D52:D56)*D52:D56)/SUMPRODUCT((C52:C56&lt;&gt;"G")*ISNUMBER(D52:D56)))</f>
        <v/>
      </c>
      <c r="N21" s="18" t="str">
        <f aca="false">IF(MIN(IF(ISNUMBER(D52),D52,999),IF(ISNUMBER(D56),D56,999))=999,"",MIN(IF(ISNUMBER(D52),D52,999),IF(ISNUMBER(D56),D56,999)))</f>
        <v/>
      </c>
      <c r="O21" s="18" t="str">
        <f aca="false">IF(M21="","—",IF(AND(ISNUMBER(N21),N21&lt;=2),"RED",IF(M21&gt;=4,"GREEN",IF(M21&gt;=2.5,"AMBER","RED"))))</f>
        <v>—</v>
      </c>
    </row>
    <row r="22" customFormat="false" ht="55.5" hidden="false" customHeight="true" outlineLevel="0" collapsed="false">
      <c r="A22" s="16" t="s">
        <v>118</v>
      </c>
      <c r="B22" s="14" t="s">
        <v>119</v>
      </c>
      <c r="C22" s="16"/>
      <c r="D22" s="31"/>
      <c r="E22" s="19" t="s">
        <v>120</v>
      </c>
      <c r="F22" s="19" t="s">
        <v>121</v>
      </c>
      <c r="G22" s="19" t="s">
        <v>122</v>
      </c>
      <c r="H22" s="16"/>
      <c r="I22" s="14"/>
      <c r="J22" s="14"/>
    </row>
    <row r="23" customFormat="false" ht="55.5" hidden="false" customHeight="true" outlineLevel="0" collapsed="false">
      <c r="A23" s="16" t="s">
        <v>123</v>
      </c>
      <c r="B23" s="14" t="s">
        <v>124</v>
      </c>
      <c r="C23" s="30" t="s">
        <v>79</v>
      </c>
      <c r="D23" s="31"/>
      <c r="E23" s="19" t="s">
        <v>125</v>
      </c>
      <c r="F23" s="19" t="s">
        <v>126</v>
      </c>
      <c r="G23" s="19" t="s">
        <v>127</v>
      </c>
      <c r="H23" s="16"/>
      <c r="I23" s="14"/>
      <c r="J23" s="14"/>
    </row>
    <row r="24" customFormat="false" ht="55.5" hidden="false" customHeight="true" outlineLevel="0" collapsed="false">
      <c r="A24" s="16" t="s">
        <v>128</v>
      </c>
      <c r="B24" s="14" t="s">
        <v>129</v>
      </c>
      <c r="C24" s="16"/>
      <c r="D24" s="31"/>
      <c r="E24" s="19" t="s">
        <v>130</v>
      </c>
      <c r="F24" s="19" t="s">
        <v>131</v>
      </c>
      <c r="G24" s="19" t="s">
        <v>132</v>
      </c>
      <c r="H24" s="16"/>
      <c r="I24" s="14"/>
      <c r="J24" s="14"/>
    </row>
    <row r="25" customFormat="false" ht="55.5" hidden="false" customHeight="true" outlineLevel="0" collapsed="false">
      <c r="A25" s="16" t="s">
        <v>133</v>
      </c>
      <c r="B25" s="14" t="s">
        <v>134</v>
      </c>
      <c r="C25" s="16"/>
      <c r="D25" s="31"/>
      <c r="E25" s="19" t="s">
        <v>135</v>
      </c>
      <c r="F25" s="19" t="s">
        <v>136</v>
      </c>
      <c r="G25" s="19" t="s">
        <v>137</v>
      </c>
      <c r="H25" s="16"/>
      <c r="I25" s="14"/>
      <c r="J25" s="14"/>
    </row>
    <row r="26" customFormat="false" ht="55.5" hidden="false" customHeight="true" outlineLevel="0" collapsed="false">
      <c r="A26" s="16" t="s">
        <v>138</v>
      </c>
      <c r="B26" s="14" t="s">
        <v>139</v>
      </c>
      <c r="C26" s="16"/>
      <c r="D26" s="31"/>
      <c r="E26" s="19" t="s">
        <v>140</v>
      </c>
      <c r="F26" s="19" t="s">
        <v>141</v>
      </c>
      <c r="G26" s="19" t="s">
        <v>142</v>
      </c>
      <c r="H26" s="16"/>
      <c r="I26" s="14"/>
      <c r="J26" s="14"/>
    </row>
    <row r="27" customFormat="false" ht="21.75" hidden="false" customHeight="true" outlineLevel="0" collapsed="false">
      <c r="A27" s="22" t="s">
        <v>143</v>
      </c>
      <c r="B27" s="22"/>
      <c r="C27" s="22"/>
      <c r="D27" s="22"/>
      <c r="E27" s="22"/>
      <c r="F27" s="22"/>
      <c r="G27" s="22"/>
      <c r="H27" s="22"/>
      <c r="I27" s="22"/>
      <c r="J27" s="22"/>
    </row>
    <row r="28" customFormat="false" ht="55.5" hidden="false" customHeight="true" outlineLevel="0" collapsed="false">
      <c r="A28" s="16" t="s">
        <v>144</v>
      </c>
      <c r="B28" s="14" t="s">
        <v>145</v>
      </c>
      <c r="C28" s="16"/>
      <c r="D28" s="31"/>
      <c r="E28" s="19" t="s">
        <v>146</v>
      </c>
      <c r="F28" s="19" t="s">
        <v>147</v>
      </c>
      <c r="G28" s="19" t="s">
        <v>148</v>
      </c>
      <c r="H28" s="16"/>
      <c r="I28" s="14"/>
      <c r="J28" s="14"/>
    </row>
    <row r="29" customFormat="false" ht="55.5" hidden="false" customHeight="true" outlineLevel="0" collapsed="false">
      <c r="A29" s="16" t="s">
        <v>149</v>
      </c>
      <c r="B29" s="14" t="s">
        <v>150</v>
      </c>
      <c r="C29" s="16"/>
      <c r="D29" s="31"/>
      <c r="E29" s="19" t="s">
        <v>151</v>
      </c>
      <c r="F29" s="19" t="s">
        <v>152</v>
      </c>
      <c r="G29" s="19" t="s">
        <v>153</v>
      </c>
      <c r="H29" s="16"/>
      <c r="I29" s="14"/>
      <c r="J29" s="14"/>
    </row>
    <row r="30" customFormat="false" ht="55.5" hidden="false" customHeight="true" outlineLevel="0" collapsed="false">
      <c r="A30" s="16" t="s">
        <v>154</v>
      </c>
      <c r="B30" s="14" t="s">
        <v>155</v>
      </c>
      <c r="C30" s="30" t="s">
        <v>79</v>
      </c>
      <c r="D30" s="31"/>
      <c r="E30" s="19" t="s">
        <v>156</v>
      </c>
      <c r="F30" s="19" t="s">
        <v>157</v>
      </c>
      <c r="G30" s="19" t="s">
        <v>158</v>
      </c>
      <c r="H30" s="16"/>
      <c r="I30" s="14"/>
      <c r="J30" s="14"/>
    </row>
    <row r="31" customFormat="false" ht="55.5" hidden="false" customHeight="true" outlineLevel="0" collapsed="false">
      <c r="A31" s="16" t="s">
        <v>159</v>
      </c>
      <c r="B31" s="14" t="s">
        <v>160</v>
      </c>
      <c r="C31" s="16"/>
      <c r="D31" s="31"/>
      <c r="E31" s="19" t="s">
        <v>161</v>
      </c>
      <c r="F31" s="19" t="s">
        <v>162</v>
      </c>
      <c r="G31" s="19" t="s">
        <v>163</v>
      </c>
      <c r="H31" s="16"/>
      <c r="I31" s="14"/>
      <c r="J31" s="14"/>
    </row>
    <row r="32" customFormat="false" ht="55.5" hidden="false" customHeight="true" outlineLevel="0" collapsed="false">
      <c r="A32" s="16" t="s">
        <v>164</v>
      </c>
      <c r="B32" s="14" t="s">
        <v>165</v>
      </c>
      <c r="C32" s="16"/>
      <c r="D32" s="31"/>
      <c r="E32" s="19" t="s">
        <v>166</v>
      </c>
      <c r="F32" s="19" t="s">
        <v>167</v>
      </c>
      <c r="G32" s="19" t="s">
        <v>168</v>
      </c>
      <c r="H32" s="16"/>
      <c r="I32" s="14"/>
      <c r="J32" s="14"/>
    </row>
    <row r="33" customFormat="false" ht="21.75" hidden="false" customHeight="true" outlineLevel="0" collapsed="false">
      <c r="A33" s="22" t="s">
        <v>169</v>
      </c>
      <c r="B33" s="22"/>
      <c r="C33" s="22"/>
      <c r="D33" s="22"/>
      <c r="E33" s="22"/>
      <c r="F33" s="22"/>
      <c r="G33" s="22"/>
      <c r="H33" s="22"/>
      <c r="I33" s="22"/>
      <c r="J33" s="22"/>
    </row>
    <row r="34" customFormat="false" ht="55.5" hidden="false" customHeight="true" outlineLevel="0" collapsed="false">
      <c r="A34" s="16" t="s">
        <v>170</v>
      </c>
      <c r="B34" s="14" t="s">
        <v>171</v>
      </c>
      <c r="C34" s="30" t="s">
        <v>79</v>
      </c>
      <c r="D34" s="31"/>
      <c r="E34" s="19" t="s">
        <v>172</v>
      </c>
      <c r="F34" s="19" t="s">
        <v>173</v>
      </c>
      <c r="G34" s="19" t="s">
        <v>174</v>
      </c>
      <c r="H34" s="16"/>
      <c r="I34" s="14"/>
      <c r="J34" s="14"/>
    </row>
    <row r="35" customFormat="false" ht="55.5" hidden="false" customHeight="true" outlineLevel="0" collapsed="false">
      <c r="A35" s="16" t="s">
        <v>175</v>
      </c>
      <c r="B35" s="14" t="s">
        <v>176</v>
      </c>
      <c r="C35" s="16"/>
      <c r="D35" s="31"/>
      <c r="E35" s="19" t="s">
        <v>177</v>
      </c>
      <c r="F35" s="19" t="s">
        <v>178</v>
      </c>
      <c r="G35" s="19" t="s">
        <v>179</v>
      </c>
      <c r="H35" s="16"/>
      <c r="I35" s="14"/>
      <c r="J35" s="14"/>
    </row>
    <row r="36" customFormat="false" ht="55.5" hidden="false" customHeight="true" outlineLevel="0" collapsed="false">
      <c r="A36" s="16" t="s">
        <v>180</v>
      </c>
      <c r="B36" s="14" t="s">
        <v>181</v>
      </c>
      <c r="C36" s="16"/>
      <c r="D36" s="31"/>
      <c r="E36" s="19" t="s">
        <v>182</v>
      </c>
      <c r="F36" s="19" t="s">
        <v>183</v>
      </c>
      <c r="G36" s="19" t="s">
        <v>184</v>
      </c>
      <c r="H36" s="16"/>
      <c r="I36" s="14"/>
      <c r="J36" s="14"/>
    </row>
    <row r="37" customFormat="false" ht="55.5" hidden="false" customHeight="true" outlineLevel="0" collapsed="false">
      <c r="A37" s="16" t="s">
        <v>185</v>
      </c>
      <c r="B37" s="14" t="s">
        <v>186</v>
      </c>
      <c r="C37" s="16"/>
      <c r="D37" s="31"/>
      <c r="E37" s="19" t="s">
        <v>187</v>
      </c>
      <c r="F37" s="19" t="s">
        <v>188</v>
      </c>
      <c r="G37" s="19" t="s">
        <v>189</v>
      </c>
      <c r="H37" s="16"/>
      <c r="I37" s="14"/>
      <c r="J37" s="14"/>
    </row>
    <row r="38" customFormat="false" ht="55.5" hidden="false" customHeight="true" outlineLevel="0" collapsed="false">
      <c r="A38" s="16" t="s">
        <v>190</v>
      </c>
      <c r="B38" s="14" t="s">
        <v>191</v>
      </c>
      <c r="C38" s="16"/>
      <c r="D38" s="31"/>
      <c r="E38" s="19" t="s">
        <v>192</v>
      </c>
      <c r="F38" s="19" t="s">
        <v>193</v>
      </c>
      <c r="G38" s="19" t="s">
        <v>194</v>
      </c>
      <c r="H38" s="16"/>
      <c r="I38" s="14"/>
      <c r="J38" s="14"/>
    </row>
    <row r="39" customFormat="false" ht="21.75" hidden="false" customHeight="true" outlineLevel="0" collapsed="false">
      <c r="A39" s="22" t="s">
        <v>195</v>
      </c>
      <c r="B39" s="22"/>
      <c r="C39" s="22"/>
      <c r="D39" s="22"/>
      <c r="E39" s="22"/>
      <c r="F39" s="22"/>
      <c r="G39" s="22"/>
      <c r="H39" s="22"/>
      <c r="I39" s="22"/>
      <c r="J39" s="22"/>
    </row>
    <row r="40" customFormat="false" ht="55.5" hidden="false" customHeight="true" outlineLevel="0" collapsed="false">
      <c r="A40" s="16" t="s">
        <v>196</v>
      </c>
      <c r="B40" s="14" t="s">
        <v>197</v>
      </c>
      <c r="C40" s="30" t="s">
        <v>79</v>
      </c>
      <c r="D40" s="31"/>
      <c r="E40" s="19" t="s">
        <v>198</v>
      </c>
      <c r="F40" s="19" t="s">
        <v>199</v>
      </c>
      <c r="G40" s="19" t="s">
        <v>200</v>
      </c>
      <c r="H40" s="16"/>
      <c r="I40" s="14"/>
      <c r="J40" s="14"/>
    </row>
    <row r="41" customFormat="false" ht="55.5" hidden="false" customHeight="true" outlineLevel="0" collapsed="false">
      <c r="A41" s="16" t="s">
        <v>201</v>
      </c>
      <c r="B41" s="14" t="s">
        <v>202</v>
      </c>
      <c r="C41" s="16"/>
      <c r="D41" s="31"/>
      <c r="E41" s="19" t="s">
        <v>203</v>
      </c>
      <c r="F41" s="19" t="s">
        <v>204</v>
      </c>
      <c r="G41" s="19" t="s">
        <v>205</v>
      </c>
      <c r="H41" s="16"/>
      <c r="I41" s="14"/>
      <c r="J41" s="14"/>
    </row>
    <row r="42" customFormat="false" ht="55.5" hidden="false" customHeight="true" outlineLevel="0" collapsed="false">
      <c r="A42" s="16" t="s">
        <v>206</v>
      </c>
      <c r="B42" s="14" t="s">
        <v>207</v>
      </c>
      <c r="C42" s="16"/>
      <c r="D42" s="31"/>
      <c r="E42" s="19" t="s">
        <v>208</v>
      </c>
      <c r="F42" s="19" t="s">
        <v>209</v>
      </c>
      <c r="G42" s="19" t="s">
        <v>210</v>
      </c>
      <c r="H42" s="16"/>
      <c r="I42" s="14"/>
      <c r="J42" s="14"/>
    </row>
    <row r="43" customFormat="false" ht="55.5" hidden="false" customHeight="true" outlineLevel="0" collapsed="false">
      <c r="A43" s="16" t="s">
        <v>211</v>
      </c>
      <c r="B43" s="14" t="s">
        <v>212</v>
      </c>
      <c r="C43" s="16"/>
      <c r="D43" s="31"/>
      <c r="E43" s="19" t="s">
        <v>213</v>
      </c>
      <c r="F43" s="19" t="s">
        <v>214</v>
      </c>
      <c r="G43" s="19" t="s">
        <v>215</v>
      </c>
      <c r="H43" s="16"/>
      <c r="I43" s="14"/>
      <c r="J43" s="14"/>
    </row>
    <row r="44" customFormat="false" ht="55.5" hidden="false" customHeight="true" outlineLevel="0" collapsed="false">
      <c r="A44" s="16" t="s">
        <v>216</v>
      </c>
      <c r="B44" s="14" t="s">
        <v>217</v>
      </c>
      <c r="C44" s="16"/>
      <c r="D44" s="31"/>
      <c r="E44" s="19" t="s">
        <v>218</v>
      </c>
      <c r="F44" s="19" t="s">
        <v>219</v>
      </c>
      <c r="G44" s="19" t="s">
        <v>220</v>
      </c>
      <c r="H44" s="16"/>
      <c r="I44" s="14"/>
      <c r="J44" s="14"/>
    </row>
    <row r="45" customFormat="false" ht="21.75" hidden="false" customHeight="true" outlineLevel="0" collapsed="false">
      <c r="A45" s="22" t="s">
        <v>221</v>
      </c>
      <c r="B45" s="22"/>
      <c r="C45" s="22"/>
      <c r="D45" s="22"/>
      <c r="E45" s="22"/>
      <c r="F45" s="22"/>
      <c r="G45" s="22"/>
      <c r="H45" s="22"/>
      <c r="I45" s="22"/>
      <c r="J45" s="22"/>
    </row>
    <row r="46" customFormat="false" ht="55.5" hidden="false" customHeight="true" outlineLevel="0" collapsed="false">
      <c r="A46" s="16" t="s">
        <v>222</v>
      </c>
      <c r="B46" s="14" t="s">
        <v>223</v>
      </c>
      <c r="C46" s="30" t="s">
        <v>79</v>
      </c>
      <c r="D46" s="31"/>
      <c r="E46" s="19" t="s">
        <v>224</v>
      </c>
      <c r="F46" s="19" t="s">
        <v>225</v>
      </c>
      <c r="G46" s="19" t="s">
        <v>226</v>
      </c>
      <c r="H46" s="16"/>
      <c r="I46" s="14"/>
      <c r="J46" s="14"/>
    </row>
    <row r="47" customFormat="false" ht="55.5" hidden="false" customHeight="true" outlineLevel="0" collapsed="false">
      <c r="A47" s="16" t="s">
        <v>227</v>
      </c>
      <c r="B47" s="14" t="s">
        <v>228</v>
      </c>
      <c r="C47" s="16"/>
      <c r="D47" s="31"/>
      <c r="E47" s="19" t="s">
        <v>229</v>
      </c>
      <c r="F47" s="19" t="s">
        <v>230</v>
      </c>
      <c r="G47" s="19" t="s">
        <v>231</v>
      </c>
      <c r="H47" s="16"/>
      <c r="I47" s="14"/>
      <c r="J47" s="14"/>
    </row>
    <row r="48" customFormat="false" ht="55.5" hidden="false" customHeight="true" outlineLevel="0" collapsed="false">
      <c r="A48" s="16" t="s">
        <v>232</v>
      </c>
      <c r="B48" s="14" t="s">
        <v>233</v>
      </c>
      <c r="C48" s="16"/>
      <c r="D48" s="31"/>
      <c r="E48" s="19" t="s">
        <v>234</v>
      </c>
      <c r="F48" s="19" t="s">
        <v>235</v>
      </c>
      <c r="G48" s="19" t="s">
        <v>236</v>
      </c>
      <c r="H48" s="16"/>
      <c r="I48" s="14"/>
      <c r="J48" s="14"/>
    </row>
    <row r="49" customFormat="false" ht="55.5" hidden="false" customHeight="true" outlineLevel="0" collapsed="false">
      <c r="A49" s="16" t="s">
        <v>237</v>
      </c>
      <c r="B49" s="14" t="s">
        <v>238</v>
      </c>
      <c r="C49" s="16"/>
      <c r="D49" s="31"/>
      <c r="E49" s="19" t="s">
        <v>239</v>
      </c>
      <c r="F49" s="19" t="s">
        <v>240</v>
      </c>
      <c r="G49" s="19" t="s">
        <v>241</v>
      </c>
      <c r="H49" s="16"/>
      <c r="I49" s="14"/>
      <c r="J49" s="14"/>
    </row>
    <row r="50" customFormat="false" ht="55.5" hidden="false" customHeight="true" outlineLevel="0" collapsed="false">
      <c r="A50" s="16" t="s">
        <v>242</v>
      </c>
      <c r="B50" s="14" t="s">
        <v>243</v>
      </c>
      <c r="C50" s="16"/>
      <c r="D50" s="31"/>
      <c r="E50" s="19" t="s">
        <v>244</v>
      </c>
      <c r="F50" s="19" t="s">
        <v>245</v>
      </c>
      <c r="G50" s="19" t="s">
        <v>246</v>
      </c>
      <c r="H50" s="16"/>
      <c r="I50" s="14"/>
      <c r="J50" s="14"/>
    </row>
    <row r="51" customFormat="false" ht="21.75" hidden="false" customHeight="true" outlineLevel="0" collapsed="false">
      <c r="A51" s="22" t="s">
        <v>247</v>
      </c>
      <c r="B51" s="22"/>
      <c r="C51" s="22"/>
      <c r="D51" s="22"/>
      <c r="E51" s="22"/>
      <c r="F51" s="22"/>
      <c r="G51" s="22"/>
      <c r="H51" s="22"/>
      <c r="I51" s="22"/>
      <c r="J51" s="22"/>
    </row>
    <row r="52" customFormat="false" ht="55.5" hidden="false" customHeight="true" outlineLevel="0" collapsed="false">
      <c r="A52" s="16" t="s">
        <v>248</v>
      </c>
      <c r="B52" s="14" t="s">
        <v>249</v>
      </c>
      <c r="C52" s="30" t="s">
        <v>79</v>
      </c>
      <c r="D52" s="31"/>
      <c r="E52" s="19" t="s">
        <v>250</v>
      </c>
      <c r="F52" s="19" t="s">
        <v>251</v>
      </c>
      <c r="G52" s="19" t="s">
        <v>252</v>
      </c>
      <c r="H52" s="16"/>
      <c r="I52" s="14"/>
      <c r="J52" s="14"/>
    </row>
    <row r="53" customFormat="false" ht="55.5" hidden="false" customHeight="true" outlineLevel="0" collapsed="false">
      <c r="A53" s="16" t="s">
        <v>253</v>
      </c>
      <c r="B53" s="14" t="s">
        <v>254</v>
      </c>
      <c r="C53" s="16"/>
      <c r="D53" s="31"/>
      <c r="E53" s="19" t="s">
        <v>255</v>
      </c>
      <c r="F53" s="19" t="s">
        <v>256</v>
      </c>
      <c r="G53" s="19" t="s">
        <v>257</v>
      </c>
      <c r="H53" s="16"/>
      <c r="I53" s="14"/>
      <c r="J53" s="14"/>
    </row>
    <row r="54" customFormat="false" ht="55.5" hidden="false" customHeight="true" outlineLevel="0" collapsed="false">
      <c r="A54" s="16" t="s">
        <v>258</v>
      </c>
      <c r="B54" s="14" t="s">
        <v>259</v>
      </c>
      <c r="C54" s="16"/>
      <c r="D54" s="31"/>
      <c r="E54" s="19" t="s">
        <v>260</v>
      </c>
      <c r="F54" s="19" t="s">
        <v>261</v>
      </c>
      <c r="G54" s="19" t="s">
        <v>262</v>
      </c>
      <c r="H54" s="16"/>
      <c r="I54" s="14"/>
      <c r="J54" s="14"/>
    </row>
    <row r="55" customFormat="false" ht="55.5" hidden="false" customHeight="true" outlineLevel="0" collapsed="false">
      <c r="A55" s="16" t="s">
        <v>263</v>
      </c>
      <c r="B55" s="14" t="s">
        <v>264</v>
      </c>
      <c r="C55" s="16"/>
      <c r="D55" s="31"/>
      <c r="E55" s="19" t="s">
        <v>265</v>
      </c>
      <c r="F55" s="19" t="s">
        <v>266</v>
      </c>
      <c r="G55" s="19" t="s">
        <v>267</v>
      </c>
      <c r="H55" s="16"/>
      <c r="I55" s="14"/>
      <c r="J55" s="14"/>
    </row>
    <row r="56" customFormat="false" ht="55.5" hidden="false" customHeight="true" outlineLevel="0" collapsed="false">
      <c r="A56" s="16" t="s">
        <v>268</v>
      </c>
      <c r="B56" s="14" t="s">
        <v>269</v>
      </c>
      <c r="C56" s="30" t="s">
        <v>79</v>
      </c>
      <c r="D56" s="31"/>
      <c r="E56" s="19" t="s">
        <v>270</v>
      </c>
      <c r="F56" s="19" t="s">
        <v>271</v>
      </c>
      <c r="G56" s="19" t="s">
        <v>272</v>
      </c>
      <c r="H56" s="16"/>
      <c r="I56" s="14"/>
      <c r="J56" s="14"/>
    </row>
  </sheetData>
  <mergeCells count="30">
    <mergeCell ref="A1:J1"/>
    <mergeCell ref="B3:D3"/>
    <mergeCell ref="F3:G3"/>
    <mergeCell ref="H3:J3"/>
    <mergeCell ref="B4:D4"/>
    <mergeCell ref="F4:G4"/>
    <mergeCell ref="H4:J4"/>
    <mergeCell ref="B5:D5"/>
    <mergeCell ref="F5:J5"/>
    <mergeCell ref="B6:D6"/>
    <mergeCell ref="F6:H6"/>
    <mergeCell ref="B7:D7"/>
    <mergeCell ref="F7:H7"/>
    <mergeCell ref="B8:D8"/>
    <mergeCell ref="F8:H8"/>
    <mergeCell ref="B9:D9"/>
    <mergeCell ref="F9:H9"/>
    <mergeCell ref="B10:D10"/>
    <mergeCell ref="F10:H10"/>
    <mergeCell ref="B11:D11"/>
    <mergeCell ref="F11:H11"/>
    <mergeCell ref="B12:D12"/>
    <mergeCell ref="F12:H12"/>
    <mergeCell ref="A15:J15"/>
    <mergeCell ref="A21:J21"/>
    <mergeCell ref="A27:J27"/>
    <mergeCell ref="A33:J33"/>
    <mergeCell ref="A39:J39"/>
    <mergeCell ref="A45:J45"/>
    <mergeCell ref="A51:J51"/>
  </mergeCells>
  <conditionalFormatting sqref="J6:J12">
    <cfRule type="cellIs" priority="2" operator="equal" aboveAverage="0" equalAverage="0" bottom="0" percent="0" rank="0" text="" dxfId="3">
      <formula>"GREEN"</formula>
    </cfRule>
    <cfRule type="cellIs" priority="3" operator="equal" aboveAverage="0" equalAverage="0" bottom="0" percent="0" rank="0" text="" dxfId="4">
      <formula>"AMBER"</formula>
    </cfRule>
    <cfRule type="cellIs" priority="4" operator="equal" aboveAverage="0" equalAverage="0" bottom="0" percent="0" rank="0" text="" dxfId="5">
      <formula>"RED"</formula>
    </cfRule>
  </conditionalFormatting>
  <conditionalFormatting sqref="H3">
    <cfRule type="cellIs" priority="5" operator="equal" aboveAverage="0" equalAverage="0" bottom="0" percent="0" rank="0" text="" dxfId="3">
      <formula>"GREEN"</formula>
    </cfRule>
    <cfRule type="cellIs" priority="6" operator="equal" aboveAverage="0" equalAverage="0" bottom="0" percent="0" rank="0" text="" dxfId="4">
      <formula>"AMBER"</formula>
    </cfRule>
    <cfRule type="cellIs" priority="7" operator="equal" aboveAverage="0" equalAverage="0" bottom="0" percent="0" rank="0" text="" dxfId="5">
      <formula>"RED"</formula>
    </cfRule>
  </conditionalFormatting>
  <conditionalFormatting sqref="D15:D56">
    <cfRule type="cellIs" priority="8" operator="lessThanOrEqual" aboveAverage="0" equalAverage="0" bottom="0" percent="0" rank="0" text="" dxfId="5">
      <formula>2</formula>
    </cfRule>
    <cfRule type="cellIs" priority="9" operator="equal" aboveAverage="0" equalAverage="0" bottom="0" percent="0" rank="0" text="" dxfId="4">
      <formula>3</formula>
    </cfRule>
    <cfRule type="cellIs" priority="10" operator="greaterThanOrEqual" aboveAverage="0" equalAverage="0" bottom="0" percent="0" rank="0" text="" dxfId="3">
      <formula>4</formula>
    </cfRule>
  </conditionalFormatting>
  <conditionalFormatting sqref="H15:H56">
    <cfRule type="cellIs" priority="11" operator="equal" aboveAverage="0" equalAverage="0" bottom="0" percent="0" rank="0" text="" dxfId="5">
      <formula>"Absent"</formula>
    </cfRule>
    <cfRule type="cellIs" priority="12" operator="equal" aboveAverage="0" equalAverage="0" bottom="0" percent="0" rank="0" text="" dxfId="4">
      <formula>"Partial"</formula>
    </cfRule>
    <cfRule type="cellIs" priority="13" operator="equal" aboveAverage="0" equalAverage="0" bottom="0" percent="0" rank="0" text="" dxfId="3">
      <formula>"Present"</formula>
    </cfRule>
  </conditionalFormatting>
  <dataValidations count="5">
    <dataValidation allowBlank="true" error="Pick a value from the drop-down: 1–5 or N/A." errorStyle="stop" errorTitle="Invalid score" operator="between" showDropDown="false" showErrorMessage="true" showInputMessage="false" sqref="D15:D56" type="list">
      <formula1>ScoreList</formula1>
      <formula2>0</formula2>
    </dataValidation>
    <dataValidation allowBlank="true" error="Pick Present, Partial, or Absent." errorStyle="stop" errorTitle="Invalid status" operator="between" showDropDown="false" showErrorMessage="true" showInputMessage="false" sqref="H15:H56" type="list">
      <formula1>EvidenceList</formula1>
      <formula2>0</formula2>
    </dataValidation>
    <dataValidation allowBlank="true" errorStyle="stop" operator="between" showDropDown="false" showErrorMessage="false" showInputMessage="false" sqref="B8" type="list">
      <formula1>ModeList</formula1>
      <formula2>0</formula2>
    </dataValidation>
    <dataValidation allowBlank="true" errorStyle="stop" operator="between" showDropDown="false" showErrorMessage="false" showInputMessage="false" sqref="B9" type="list">
      <formula1>DepClassList</formula1>
      <formula2>0</formula2>
    </dataValidation>
    <dataValidation allowBlank="true" errorStyle="stop" operator="between" showDropDown="false" showErrorMessage="false" showInputMessage="false" sqref="B10" type="list">
      <formula1>TrajectoryList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5"/>
    <col collapsed="false" customWidth="true" hidden="false" outlineLevel="0" max="4" min="4" style="0" width="9"/>
    <col collapsed="false" customWidth="true" hidden="false" outlineLevel="0" max="7" min="5" style="0" width="30"/>
    <col collapsed="false" customWidth="true" hidden="false" outlineLevel="0" max="8" min="8" style="0" width="14"/>
    <col collapsed="false" customWidth="true" hidden="false" outlineLevel="0" max="9" min="9" style="0" width="42"/>
    <col collapsed="false" customWidth="true" hidden="false" outlineLevel="0" max="10" min="10" style="0" width="18"/>
    <col collapsed="false" customWidth="true" hidden="true" outlineLevel="0" max="15" min="12" style="0" width="13"/>
  </cols>
  <sheetData>
    <row r="1" customFormat="false" ht="30" hidden="false" customHeight="true" outlineLevel="0" collapsed="false">
      <c r="A1" s="1" t="s">
        <v>276</v>
      </c>
      <c r="B1" s="1"/>
      <c r="C1" s="1"/>
      <c r="D1" s="1"/>
      <c r="E1" s="1"/>
      <c r="F1" s="1"/>
      <c r="G1" s="1"/>
      <c r="H1" s="1"/>
      <c r="I1" s="1"/>
      <c r="J1" s="1"/>
    </row>
    <row r="3" customFormat="false" ht="27.75" hidden="false" customHeight="true" outlineLevel="0" collapsed="false">
      <c r="A3" s="5" t="s">
        <v>40</v>
      </c>
      <c r="B3" s="6"/>
      <c r="C3" s="6"/>
      <c r="D3" s="6"/>
      <c r="F3" s="24" t="s">
        <v>50</v>
      </c>
      <c r="G3" s="24"/>
      <c r="H3" s="25" t="str">
        <f aca="false">IF(COUNTIF(J6:J12,"RED")&gt;0,"RED",IF(COUNTIF(J6:J12,"AMBER")&gt;0,"AMBER",IF(COUNTIF(J6:J12,"GREEN")&gt;0,"GREEN","—")))</f>
        <v>—</v>
      </c>
      <c r="I3" s="25"/>
      <c r="J3" s="25"/>
    </row>
    <row r="4" customFormat="false" ht="19.5" hidden="false" customHeight="true" outlineLevel="0" collapsed="false">
      <c r="A4" s="5" t="s">
        <v>60</v>
      </c>
      <c r="B4" s="6"/>
      <c r="C4" s="6"/>
      <c r="D4" s="6"/>
      <c r="F4" s="8" t="s">
        <v>61</v>
      </c>
      <c r="G4" s="8"/>
      <c r="H4" s="26" t="str">
        <f aca="false">IF(COUNTIF(J6:J12,"RED")&gt;0,INDEX(F6:F12,MATCH("RED",J6:J12,0)),IF(COUNTIF(J6:J12,"AMBER")&gt;0,INDEX(F6:F12,MATCH("AMBER",J6:J12,0)),IF(COUNTIF(J6:J12,"GREEN")&gt;0,INDEX(F6:F12,MATCH("GREEN",J6:J12,0)),"—")))</f>
        <v>—</v>
      </c>
      <c r="I4" s="26"/>
      <c r="J4" s="26"/>
    </row>
    <row r="5" customFormat="false" ht="19.5" hidden="false" customHeight="true" outlineLevel="0" collapsed="false">
      <c r="A5" s="5" t="s">
        <v>62</v>
      </c>
      <c r="B5" s="6"/>
      <c r="C5" s="6"/>
      <c r="D5" s="6"/>
      <c r="F5" s="8" t="s">
        <v>63</v>
      </c>
      <c r="G5" s="8"/>
      <c r="H5" s="8"/>
      <c r="I5" s="8"/>
      <c r="J5" s="8"/>
    </row>
    <row r="6" customFormat="false" ht="18" hidden="false" customHeight="true" outlineLevel="0" collapsed="false">
      <c r="A6" s="5" t="s">
        <v>64</v>
      </c>
      <c r="B6" s="6"/>
      <c r="C6" s="6"/>
      <c r="D6" s="6"/>
      <c r="F6" s="27" t="s">
        <v>65</v>
      </c>
      <c r="G6" s="27"/>
      <c r="H6" s="27"/>
      <c r="I6" s="28" t="str">
        <f aca="false">IFERROR(ROUND(M15,2),"")</f>
        <v/>
      </c>
      <c r="J6" s="29" t="str">
        <f aca="false">O15</f>
        <v>—</v>
      </c>
    </row>
    <row r="7" customFormat="false" ht="18" hidden="false" customHeight="true" outlineLevel="0" collapsed="false">
      <c r="A7" s="5" t="s">
        <v>66</v>
      </c>
      <c r="B7" s="6"/>
      <c r="C7" s="6"/>
      <c r="D7" s="6"/>
      <c r="F7" s="27" t="s">
        <v>67</v>
      </c>
      <c r="G7" s="27"/>
      <c r="H7" s="27"/>
      <c r="I7" s="28" t="str">
        <f aca="false">IFERROR(ROUND(M16,2),"")</f>
        <v/>
      </c>
      <c r="J7" s="29" t="str">
        <f aca="false">O16</f>
        <v>—</v>
      </c>
    </row>
    <row r="8" customFormat="false" ht="18" hidden="false" customHeight="true" outlineLevel="0" collapsed="false">
      <c r="A8" s="5" t="s">
        <v>35</v>
      </c>
      <c r="B8" s="6"/>
      <c r="C8" s="6"/>
      <c r="D8" s="6"/>
      <c r="F8" s="27" t="s">
        <v>68</v>
      </c>
      <c r="G8" s="27"/>
      <c r="H8" s="27"/>
      <c r="I8" s="28" t="str">
        <f aca="false">IFERROR(ROUND(M17,2),"")</f>
        <v/>
      </c>
      <c r="J8" s="29" t="str">
        <f aca="false">O17</f>
        <v>—</v>
      </c>
    </row>
    <row r="9" customFormat="false" ht="18" hidden="false" customHeight="true" outlineLevel="0" collapsed="false">
      <c r="A9" s="5" t="s">
        <v>69</v>
      </c>
      <c r="B9" s="6"/>
      <c r="C9" s="6"/>
      <c r="D9" s="6"/>
      <c r="F9" s="27" t="s">
        <v>70</v>
      </c>
      <c r="G9" s="27"/>
      <c r="H9" s="27"/>
      <c r="I9" s="28" t="str">
        <f aca="false">IFERROR(ROUND(M18,2),"")</f>
        <v/>
      </c>
      <c r="J9" s="29" t="str">
        <f aca="false">O18</f>
        <v>—</v>
      </c>
    </row>
    <row r="10" customFormat="false" ht="18" hidden="false" customHeight="true" outlineLevel="0" collapsed="false">
      <c r="A10" s="5" t="s">
        <v>71</v>
      </c>
      <c r="B10" s="6"/>
      <c r="C10" s="6"/>
      <c r="D10" s="6"/>
      <c r="F10" s="27" t="s">
        <v>72</v>
      </c>
      <c r="G10" s="27"/>
      <c r="H10" s="27"/>
      <c r="I10" s="28" t="str">
        <f aca="false">IFERROR(ROUND(M19,2),"")</f>
        <v/>
      </c>
      <c r="J10" s="29" t="str">
        <f aca="false">O19</f>
        <v>—</v>
      </c>
    </row>
    <row r="11" customFormat="false" ht="18" hidden="false" customHeight="true" outlineLevel="0" collapsed="false">
      <c r="A11" s="5" t="s">
        <v>73</v>
      </c>
      <c r="B11" s="6"/>
      <c r="C11" s="6"/>
      <c r="D11" s="6"/>
      <c r="F11" s="27" t="s">
        <v>74</v>
      </c>
      <c r="G11" s="27"/>
      <c r="H11" s="27"/>
      <c r="I11" s="28" t="str">
        <f aca="false">IFERROR(ROUND(M20,2),"")</f>
        <v/>
      </c>
      <c r="J11" s="29" t="str">
        <f aca="false">O20</f>
        <v>—</v>
      </c>
    </row>
    <row r="12" customFormat="false" ht="18" hidden="false" customHeight="true" outlineLevel="0" collapsed="false">
      <c r="A12" s="5" t="s">
        <v>75</v>
      </c>
      <c r="B12" s="6"/>
      <c r="C12" s="6"/>
      <c r="D12" s="6"/>
      <c r="F12" s="27" t="s">
        <v>76</v>
      </c>
      <c r="G12" s="27"/>
      <c r="H12" s="27"/>
      <c r="I12" s="28" t="str">
        <f aca="false">IFERROR(ROUND(M21,2),"")</f>
        <v/>
      </c>
      <c r="J12" s="29" t="str">
        <f aca="false">O21</f>
        <v>—</v>
      </c>
    </row>
    <row r="13" customFormat="false" ht="7.5" hidden="false" customHeight="true" outlineLevel="0" collapsed="false"/>
    <row r="14" customFormat="false" ht="30" hidden="false" customHeight="true" outlineLevel="0" collapsed="false">
      <c r="A14" s="12" t="s">
        <v>77</v>
      </c>
      <c r="B14" s="12" t="s">
        <v>78</v>
      </c>
      <c r="C14" s="12" t="s">
        <v>79</v>
      </c>
      <c r="D14" s="12" t="s">
        <v>80</v>
      </c>
      <c r="E14" s="12" t="s">
        <v>81</v>
      </c>
      <c r="F14" s="12" t="s">
        <v>82</v>
      </c>
      <c r="G14" s="12" t="s">
        <v>83</v>
      </c>
      <c r="H14" s="12" t="s">
        <v>84</v>
      </c>
      <c r="I14" s="12" t="s">
        <v>85</v>
      </c>
      <c r="J14" s="12" t="s">
        <v>86</v>
      </c>
      <c r="L14" s="13" t="s">
        <v>87</v>
      </c>
      <c r="M14" s="13" t="s">
        <v>88</v>
      </c>
      <c r="N14" s="13" t="s">
        <v>89</v>
      </c>
      <c r="O14" s="13" t="s">
        <v>90</v>
      </c>
    </row>
    <row r="15" customFormat="false" ht="21.75" hidden="false" customHeight="true" outlineLevel="0" collapsed="false">
      <c r="A15" s="22" t="s">
        <v>91</v>
      </c>
      <c r="B15" s="22"/>
      <c r="C15" s="22"/>
      <c r="D15" s="22"/>
      <c r="E15" s="22"/>
      <c r="F15" s="22"/>
      <c r="G15" s="22"/>
      <c r="H15" s="22"/>
      <c r="I15" s="22"/>
      <c r="J15" s="22"/>
      <c r="L15" s="18" t="n">
        <v>1</v>
      </c>
      <c r="M15" s="18" t="str">
        <f aca="false">IF(SUMPRODUCT((C16:C20&lt;&gt;"G")*ISNUMBER(D16:D20))=0,"",SUMPRODUCT((C16:C20&lt;&gt;"G")*ISNUMBER(D16:D20)*D16:D20)/SUMPRODUCT((C16:C20&lt;&gt;"G")*ISNUMBER(D16:D20)))</f>
        <v/>
      </c>
      <c r="N15" s="18" t="str">
        <f aca="false">IF(MIN(IF(ISNUMBER(D16),D16,999))=999,"",MIN(IF(ISNUMBER(D16),D16,999)))</f>
        <v/>
      </c>
      <c r="O15" s="18" t="str">
        <f aca="false">IF(M15="","—",IF(AND(ISNUMBER(N15),N15&lt;=2),"RED",IF(M15&gt;=4,"GREEN",IF(M15&gt;=2.5,"AMBER","RED"))))</f>
        <v>—</v>
      </c>
    </row>
    <row r="16" customFormat="false" ht="55.5" hidden="false" customHeight="true" outlineLevel="0" collapsed="false">
      <c r="A16" s="16" t="s">
        <v>92</v>
      </c>
      <c r="B16" s="14" t="s">
        <v>93</v>
      </c>
      <c r="C16" s="30" t="s">
        <v>79</v>
      </c>
      <c r="D16" s="31"/>
      <c r="E16" s="19" t="s">
        <v>94</v>
      </c>
      <c r="F16" s="19" t="s">
        <v>95</v>
      </c>
      <c r="G16" s="19" t="s">
        <v>96</v>
      </c>
      <c r="H16" s="16"/>
      <c r="I16" s="14"/>
      <c r="J16" s="14"/>
      <c r="L16" s="18" t="n">
        <v>2</v>
      </c>
      <c r="M16" s="18" t="str">
        <f aca="false">IF(SUMPRODUCT((C22:C26&lt;&gt;"G")*ISNUMBER(D22:D26))=0,"",SUMPRODUCT((C22:C26&lt;&gt;"G")*ISNUMBER(D22:D26)*D22:D26)/SUMPRODUCT((C22:C26&lt;&gt;"G")*ISNUMBER(D22:D26)))</f>
        <v/>
      </c>
      <c r="N16" s="18" t="str">
        <f aca="false">IF(MIN(IF(ISNUMBER(D23),D23,999))=999,"",MIN(IF(ISNUMBER(D23),D23,999)))</f>
        <v/>
      </c>
      <c r="O16" s="18" t="str">
        <f aca="false">IF(M16="","—",IF(AND(ISNUMBER(N16),N16&lt;=2),"RED",IF(M16&gt;=4,"GREEN",IF(M16&gt;=2.5,"AMBER","RED"))))</f>
        <v>—</v>
      </c>
    </row>
    <row r="17" customFormat="false" ht="55.5" hidden="false" customHeight="true" outlineLevel="0" collapsed="false">
      <c r="A17" s="16" t="s">
        <v>97</v>
      </c>
      <c r="B17" s="14" t="s">
        <v>98</v>
      </c>
      <c r="C17" s="16"/>
      <c r="D17" s="31"/>
      <c r="E17" s="19" t="s">
        <v>99</v>
      </c>
      <c r="F17" s="19" t="s">
        <v>100</v>
      </c>
      <c r="G17" s="19" t="s">
        <v>101</v>
      </c>
      <c r="H17" s="16"/>
      <c r="I17" s="14"/>
      <c r="J17" s="14"/>
      <c r="L17" s="18" t="n">
        <v>3</v>
      </c>
      <c r="M17" s="18" t="str">
        <f aca="false">IF(SUMPRODUCT((C28:C32&lt;&gt;"G")*ISNUMBER(D28:D32))=0,"",SUMPRODUCT((C28:C32&lt;&gt;"G")*ISNUMBER(D28:D32)*D28:D32)/SUMPRODUCT((C28:C32&lt;&gt;"G")*ISNUMBER(D28:D32)))</f>
        <v/>
      </c>
      <c r="N17" s="18" t="str">
        <f aca="false">IF(MIN(IF(ISNUMBER(D30),D30,999))=999,"",MIN(IF(ISNUMBER(D30),D30,999)))</f>
        <v/>
      </c>
      <c r="O17" s="18" t="str">
        <f aca="false">IF(M17="","—",IF(AND(ISNUMBER(N17),N17&lt;=2),"RED",IF(M17&gt;=4,"GREEN",IF(M17&gt;=2.5,"AMBER","RED"))))</f>
        <v>—</v>
      </c>
    </row>
    <row r="18" customFormat="false" ht="55.5" hidden="false" customHeight="true" outlineLevel="0" collapsed="false">
      <c r="A18" s="16" t="s">
        <v>102</v>
      </c>
      <c r="B18" s="14" t="s">
        <v>103</v>
      </c>
      <c r="C18" s="16"/>
      <c r="D18" s="31"/>
      <c r="E18" s="19" t="s">
        <v>104</v>
      </c>
      <c r="F18" s="19" t="s">
        <v>105</v>
      </c>
      <c r="G18" s="19" t="s">
        <v>106</v>
      </c>
      <c r="H18" s="16"/>
      <c r="I18" s="14"/>
      <c r="J18" s="14"/>
      <c r="L18" s="18" t="n">
        <v>4</v>
      </c>
      <c r="M18" s="18" t="str">
        <f aca="false">IF(SUMPRODUCT((C34:C38&lt;&gt;"G")*ISNUMBER(D34:D38))=0,"",SUMPRODUCT((C34:C38&lt;&gt;"G")*ISNUMBER(D34:D38)*D34:D38)/SUMPRODUCT((C34:C38&lt;&gt;"G")*ISNUMBER(D34:D38)))</f>
        <v/>
      </c>
      <c r="N18" s="18" t="str">
        <f aca="false">IF(MIN(IF(ISNUMBER(D34),D34,999))=999,"",MIN(IF(ISNUMBER(D34),D34,999)))</f>
        <v/>
      </c>
      <c r="O18" s="18" t="str">
        <f aca="false">IF(M18="","—",IF(AND(ISNUMBER(N18),N18&lt;=2),"RED",IF(M18&gt;=4,"GREEN",IF(M18&gt;=2.5,"AMBER","RED"))))</f>
        <v>—</v>
      </c>
    </row>
    <row r="19" customFormat="false" ht="55.5" hidden="false" customHeight="true" outlineLevel="0" collapsed="false">
      <c r="A19" s="16" t="s">
        <v>107</v>
      </c>
      <c r="B19" s="14" t="s">
        <v>108</v>
      </c>
      <c r="C19" s="16"/>
      <c r="D19" s="31"/>
      <c r="E19" s="19" t="s">
        <v>109</v>
      </c>
      <c r="F19" s="19" t="s">
        <v>110</v>
      </c>
      <c r="G19" s="19" t="s">
        <v>111</v>
      </c>
      <c r="H19" s="16"/>
      <c r="I19" s="14"/>
      <c r="J19" s="14"/>
      <c r="L19" s="18" t="n">
        <v>5</v>
      </c>
      <c r="M19" s="18" t="str">
        <f aca="false">IF(SUMPRODUCT((C40:C44&lt;&gt;"G")*ISNUMBER(D40:D44))=0,"",SUMPRODUCT((C40:C44&lt;&gt;"G")*ISNUMBER(D40:D44)*D40:D44)/SUMPRODUCT((C40:C44&lt;&gt;"G")*ISNUMBER(D40:D44)))</f>
        <v/>
      </c>
      <c r="N19" s="18" t="str">
        <f aca="false">IF(MIN(IF(ISNUMBER(D40),D40,999))=999,"",MIN(IF(ISNUMBER(D40),D40,999)))</f>
        <v/>
      </c>
      <c r="O19" s="18" t="str">
        <f aca="false">IF(M19="","—",IF(AND(ISNUMBER(N19),N19&lt;=2),"RED",IF(M19&gt;=4,"GREEN",IF(M19&gt;=2.5,"AMBER","RED"))))</f>
        <v>—</v>
      </c>
    </row>
    <row r="20" customFormat="false" ht="55.5" hidden="false" customHeight="true" outlineLevel="0" collapsed="false">
      <c r="A20" s="16" t="s">
        <v>112</v>
      </c>
      <c r="B20" s="14" t="s">
        <v>113</v>
      </c>
      <c r="C20" s="16"/>
      <c r="D20" s="31"/>
      <c r="E20" s="19" t="s">
        <v>114</v>
      </c>
      <c r="F20" s="19" t="s">
        <v>115</v>
      </c>
      <c r="G20" s="19" t="s">
        <v>116</v>
      </c>
      <c r="H20" s="16"/>
      <c r="I20" s="14"/>
      <c r="J20" s="14"/>
      <c r="L20" s="18" t="n">
        <v>6</v>
      </c>
      <c r="M20" s="18" t="str">
        <f aca="false">IF(SUMPRODUCT((C46:C50&lt;&gt;"G")*ISNUMBER(D46:D50))=0,"",SUMPRODUCT((C46:C50&lt;&gt;"G")*ISNUMBER(D46:D50)*D46:D50)/SUMPRODUCT((C46:C50&lt;&gt;"G")*ISNUMBER(D46:D50)))</f>
        <v/>
      </c>
      <c r="N20" s="18" t="str">
        <f aca="false">IF(MIN(IF(ISNUMBER(D46),D46,999))=999,"",MIN(IF(ISNUMBER(D46),D46,999)))</f>
        <v/>
      </c>
      <c r="O20" s="18" t="str">
        <f aca="false">IF(M20="","—",IF(AND(ISNUMBER(N20),N20&lt;=2),"RED",IF(M20&gt;=4,"GREEN",IF(M20&gt;=2.5,"AMBER","RED"))))</f>
        <v>—</v>
      </c>
    </row>
    <row r="21" customFormat="false" ht="21.75" hidden="false" customHeight="true" outlineLevel="0" collapsed="false">
      <c r="A21" s="22" t="s">
        <v>117</v>
      </c>
      <c r="B21" s="22"/>
      <c r="C21" s="22"/>
      <c r="D21" s="22"/>
      <c r="E21" s="22"/>
      <c r="F21" s="22"/>
      <c r="G21" s="22"/>
      <c r="H21" s="22"/>
      <c r="I21" s="22"/>
      <c r="J21" s="22"/>
      <c r="L21" s="18" t="n">
        <v>7</v>
      </c>
      <c r="M21" s="18" t="str">
        <f aca="false">IF(SUMPRODUCT((C52:C56&lt;&gt;"G")*ISNUMBER(D52:D56))=0,"",SUMPRODUCT((C52:C56&lt;&gt;"G")*ISNUMBER(D52:D56)*D52:D56)/SUMPRODUCT((C52:C56&lt;&gt;"G")*ISNUMBER(D52:D56)))</f>
        <v/>
      </c>
      <c r="N21" s="18" t="str">
        <f aca="false">IF(MIN(IF(ISNUMBER(D52),D52,999),IF(ISNUMBER(D56),D56,999))=999,"",MIN(IF(ISNUMBER(D52),D52,999),IF(ISNUMBER(D56),D56,999)))</f>
        <v/>
      </c>
      <c r="O21" s="18" t="str">
        <f aca="false">IF(M21="","—",IF(AND(ISNUMBER(N21),N21&lt;=2),"RED",IF(M21&gt;=4,"GREEN",IF(M21&gt;=2.5,"AMBER","RED"))))</f>
        <v>—</v>
      </c>
    </row>
    <row r="22" customFormat="false" ht="55.5" hidden="false" customHeight="true" outlineLevel="0" collapsed="false">
      <c r="A22" s="16" t="s">
        <v>118</v>
      </c>
      <c r="B22" s="14" t="s">
        <v>119</v>
      </c>
      <c r="C22" s="16"/>
      <c r="D22" s="31"/>
      <c r="E22" s="19" t="s">
        <v>120</v>
      </c>
      <c r="F22" s="19" t="s">
        <v>121</v>
      </c>
      <c r="G22" s="19" t="s">
        <v>122</v>
      </c>
      <c r="H22" s="16"/>
      <c r="I22" s="14"/>
      <c r="J22" s="14"/>
    </row>
    <row r="23" customFormat="false" ht="55.5" hidden="false" customHeight="true" outlineLevel="0" collapsed="false">
      <c r="A23" s="16" t="s">
        <v>123</v>
      </c>
      <c r="B23" s="14" t="s">
        <v>124</v>
      </c>
      <c r="C23" s="30" t="s">
        <v>79</v>
      </c>
      <c r="D23" s="31"/>
      <c r="E23" s="19" t="s">
        <v>125</v>
      </c>
      <c r="F23" s="19" t="s">
        <v>126</v>
      </c>
      <c r="G23" s="19" t="s">
        <v>127</v>
      </c>
      <c r="H23" s="16"/>
      <c r="I23" s="14"/>
      <c r="J23" s="14"/>
    </row>
    <row r="24" customFormat="false" ht="55.5" hidden="false" customHeight="true" outlineLevel="0" collapsed="false">
      <c r="A24" s="16" t="s">
        <v>128</v>
      </c>
      <c r="B24" s="14" t="s">
        <v>129</v>
      </c>
      <c r="C24" s="16"/>
      <c r="D24" s="31"/>
      <c r="E24" s="19" t="s">
        <v>130</v>
      </c>
      <c r="F24" s="19" t="s">
        <v>131</v>
      </c>
      <c r="G24" s="19" t="s">
        <v>132</v>
      </c>
      <c r="H24" s="16"/>
      <c r="I24" s="14"/>
      <c r="J24" s="14"/>
    </row>
    <row r="25" customFormat="false" ht="55.5" hidden="false" customHeight="true" outlineLevel="0" collapsed="false">
      <c r="A25" s="16" t="s">
        <v>133</v>
      </c>
      <c r="B25" s="14" t="s">
        <v>134</v>
      </c>
      <c r="C25" s="16"/>
      <c r="D25" s="31"/>
      <c r="E25" s="19" t="s">
        <v>135</v>
      </c>
      <c r="F25" s="19" t="s">
        <v>136</v>
      </c>
      <c r="G25" s="19" t="s">
        <v>137</v>
      </c>
      <c r="H25" s="16"/>
      <c r="I25" s="14"/>
      <c r="J25" s="14"/>
    </row>
    <row r="26" customFormat="false" ht="55.5" hidden="false" customHeight="true" outlineLevel="0" collapsed="false">
      <c r="A26" s="16" t="s">
        <v>138</v>
      </c>
      <c r="B26" s="14" t="s">
        <v>139</v>
      </c>
      <c r="C26" s="16"/>
      <c r="D26" s="31"/>
      <c r="E26" s="19" t="s">
        <v>140</v>
      </c>
      <c r="F26" s="19" t="s">
        <v>141</v>
      </c>
      <c r="G26" s="19" t="s">
        <v>142</v>
      </c>
      <c r="H26" s="16"/>
      <c r="I26" s="14"/>
      <c r="J26" s="14"/>
    </row>
    <row r="27" customFormat="false" ht="21.75" hidden="false" customHeight="true" outlineLevel="0" collapsed="false">
      <c r="A27" s="22" t="s">
        <v>143</v>
      </c>
      <c r="B27" s="22"/>
      <c r="C27" s="22"/>
      <c r="D27" s="22"/>
      <c r="E27" s="22"/>
      <c r="F27" s="22"/>
      <c r="G27" s="22"/>
      <c r="H27" s="22"/>
      <c r="I27" s="22"/>
      <c r="J27" s="22"/>
    </row>
    <row r="28" customFormat="false" ht="55.5" hidden="false" customHeight="true" outlineLevel="0" collapsed="false">
      <c r="A28" s="16" t="s">
        <v>144</v>
      </c>
      <c r="B28" s="14" t="s">
        <v>145</v>
      </c>
      <c r="C28" s="16"/>
      <c r="D28" s="31"/>
      <c r="E28" s="19" t="s">
        <v>146</v>
      </c>
      <c r="F28" s="19" t="s">
        <v>147</v>
      </c>
      <c r="G28" s="19" t="s">
        <v>148</v>
      </c>
      <c r="H28" s="16"/>
      <c r="I28" s="14"/>
      <c r="J28" s="14"/>
    </row>
    <row r="29" customFormat="false" ht="55.5" hidden="false" customHeight="true" outlineLevel="0" collapsed="false">
      <c r="A29" s="16" t="s">
        <v>149</v>
      </c>
      <c r="B29" s="14" t="s">
        <v>150</v>
      </c>
      <c r="C29" s="16"/>
      <c r="D29" s="31"/>
      <c r="E29" s="19" t="s">
        <v>151</v>
      </c>
      <c r="F29" s="19" t="s">
        <v>152</v>
      </c>
      <c r="G29" s="19" t="s">
        <v>153</v>
      </c>
      <c r="H29" s="16"/>
      <c r="I29" s="14"/>
      <c r="J29" s="14"/>
    </row>
    <row r="30" customFormat="false" ht="55.5" hidden="false" customHeight="true" outlineLevel="0" collapsed="false">
      <c r="A30" s="16" t="s">
        <v>154</v>
      </c>
      <c r="B30" s="14" t="s">
        <v>155</v>
      </c>
      <c r="C30" s="30" t="s">
        <v>79</v>
      </c>
      <c r="D30" s="31"/>
      <c r="E30" s="19" t="s">
        <v>156</v>
      </c>
      <c r="F30" s="19" t="s">
        <v>157</v>
      </c>
      <c r="G30" s="19" t="s">
        <v>158</v>
      </c>
      <c r="H30" s="16"/>
      <c r="I30" s="14"/>
      <c r="J30" s="14"/>
    </row>
    <row r="31" customFormat="false" ht="55.5" hidden="false" customHeight="true" outlineLevel="0" collapsed="false">
      <c r="A31" s="16" t="s">
        <v>159</v>
      </c>
      <c r="B31" s="14" t="s">
        <v>160</v>
      </c>
      <c r="C31" s="16"/>
      <c r="D31" s="31"/>
      <c r="E31" s="19" t="s">
        <v>161</v>
      </c>
      <c r="F31" s="19" t="s">
        <v>162</v>
      </c>
      <c r="G31" s="19" t="s">
        <v>163</v>
      </c>
      <c r="H31" s="16"/>
      <c r="I31" s="14"/>
      <c r="J31" s="14"/>
    </row>
    <row r="32" customFormat="false" ht="55.5" hidden="false" customHeight="true" outlineLevel="0" collapsed="false">
      <c r="A32" s="16" t="s">
        <v>164</v>
      </c>
      <c r="B32" s="14" t="s">
        <v>165</v>
      </c>
      <c r="C32" s="16"/>
      <c r="D32" s="31"/>
      <c r="E32" s="19" t="s">
        <v>166</v>
      </c>
      <c r="F32" s="19" t="s">
        <v>167</v>
      </c>
      <c r="G32" s="19" t="s">
        <v>168</v>
      </c>
      <c r="H32" s="16"/>
      <c r="I32" s="14"/>
      <c r="J32" s="14"/>
    </row>
    <row r="33" customFormat="false" ht="21.75" hidden="false" customHeight="true" outlineLevel="0" collapsed="false">
      <c r="A33" s="22" t="s">
        <v>169</v>
      </c>
      <c r="B33" s="22"/>
      <c r="C33" s="22"/>
      <c r="D33" s="22"/>
      <c r="E33" s="22"/>
      <c r="F33" s="22"/>
      <c r="G33" s="22"/>
      <c r="H33" s="22"/>
      <c r="I33" s="22"/>
      <c r="J33" s="22"/>
    </row>
    <row r="34" customFormat="false" ht="55.5" hidden="false" customHeight="true" outlineLevel="0" collapsed="false">
      <c r="A34" s="16" t="s">
        <v>170</v>
      </c>
      <c r="B34" s="14" t="s">
        <v>171</v>
      </c>
      <c r="C34" s="30" t="s">
        <v>79</v>
      </c>
      <c r="D34" s="31"/>
      <c r="E34" s="19" t="s">
        <v>172</v>
      </c>
      <c r="F34" s="19" t="s">
        <v>173</v>
      </c>
      <c r="G34" s="19" t="s">
        <v>174</v>
      </c>
      <c r="H34" s="16"/>
      <c r="I34" s="14"/>
      <c r="J34" s="14"/>
    </row>
    <row r="35" customFormat="false" ht="55.5" hidden="false" customHeight="true" outlineLevel="0" collapsed="false">
      <c r="A35" s="16" t="s">
        <v>175</v>
      </c>
      <c r="B35" s="14" t="s">
        <v>176</v>
      </c>
      <c r="C35" s="16"/>
      <c r="D35" s="31"/>
      <c r="E35" s="19" t="s">
        <v>177</v>
      </c>
      <c r="F35" s="19" t="s">
        <v>178</v>
      </c>
      <c r="G35" s="19" t="s">
        <v>179</v>
      </c>
      <c r="H35" s="16"/>
      <c r="I35" s="14"/>
      <c r="J35" s="14"/>
    </row>
    <row r="36" customFormat="false" ht="55.5" hidden="false" customHeight="true" outlineLevel="0" collapsed="false">
      <c r="A36" s="16" t="s">
        <v>180</v>
      </c>
      <c r="B36" s="14" t="s">
        <v>181</v>
      </c>
      <c r="C36" s="16"/>
      <c r="D36" s="31"/>
      <c r="E36" s="19" t="s">
        <v>182</v>
      </c>
      <c r="F36" s="19" t="s">
        <v>183</v>
      </c>
      <c r="G36" s="19" t="s">
        <v>184</v>
      </c>
      <c r="H36" s="16"/>
      <c r="I36" s="14"/>
      <c r="J36" s="14"/>
    </row>
    <row r="37" customFormat="false" ht="55.5" hidden="false" customHeight="true" outlineLevel="0" collapsed="false">
      <c r="A37" s="16" t="s">
        <v>185</v>
      </c>
      <c r="B37" s="14" t="s">
        <v>186</v>
      </c>
      <c r="C37" s="16"/>
      <c r="D37" s="31"/>
      <c r="E37" s="19" t="s">
        <v>187</v>
      </c>
      <c r="F37" s="19" t="s">
        <v>188</v>
      </c>
      <c r="G37" s="19" t="s">
        <v>189</v>
      </c>
      <c r="H37" s="16"/>
      <c r="I37" s="14"/>
      <c r="J37" s="14"/>
    </row>
    <row r="38" customFormat="false" ht="55.5" hidden="false" customHeight="true" outlineLevel="0" collapsed="false">
      <c r="A38" s="16" t="s">
        <v>190</v>
      </c>
      <c r="B38" s="14" t="s">
        <v>191</v>
      </c>
      <c r="C38" s="16"/>
      <c r="D38" s="31"/>
      <c r="E38" s="19" t="s">
        <v>192</v>
      </c>
      <c r="F38" s="19" t="s">
        <v>193</v>
      </c>
      <c r="G38" s="19" t="s">
        <v>194</v>
      </c>
      <c r="H38" s="16"/>
      <c r="I38" s="14"/>
      <c r="J38" s="14"/>
    </row>
    <row r="39" customFormat="false" ht="21.75" hidden="false" customHeight="true" outlineLevel="0" collapsed="false">
      <c r="A39" s="22" t="s">
        <v>195</v>
      </c>
      <c r="B39" s="22"/>
      <c r="C39" s="22"/>
      <c r="D39" s="22"/>
      <c r="E39" s="22"/>
      <c r="F39" s="22"/>
      <c r="G39" s="22"/>
      <c r="H39" s="22"/>
      <c r="I39" s="22"/>
      <c r="J39" s="22"/>
    </row>
    <row r="40" customFormat="false" ht="55.5" hidden="false" customHeight="true" outlineLevel="0" collapsed="false">
      <c r="A40" s="16" t="s">
        <v>196</v>
      </c>
      <c r="B40" s="14" t="s">
        <v>197</v>
      </c>
      <c r="C40" s="30" t="s">
        <v>79</v>
      </c>
      <c r="D40" s="31"/>
      <c r="E40" s="19" t="s">
        <v>198</v>
      </c>
      <c r="F40" s="19" t="s">
        <v>199</v>
      </c>
      <c r="G40" s="19" t="s">
        <v>200</v>
      </c>
      <c r="H40" s="16"/>
      <c r="I40" s="14"/>
      <c r="J40" s="14"/>
    </row>
    <row r="41" customFormat="false" ht="55.5" hidden="false" customHeight="true" outlineLevel="0" collapsed="false">
      <c r="A41" s="16" t="s">
        <v>201</v>
      </c>
      <c r="B41" s="14" t="s">
        <v>202</v>
      </c>
      <c r="C41" s="16"/>
      <c r="D41" s="31"/>
      <c r="E41" s="19" t="s">
        <v>203</v>
      </c>
      <c r="F41" s="19" t="s">
        <v>204</v>
      </c>
      <c r="G41" s="19" t="s">
        <v>205</v>
      </c>
      <c r="H41" s="16"/>
      <c r="I41" s="14"/>
      <c r="J41" s="14"/>
    </row>
    <row r="42" customFormat="false" ht="55.5" hidden="false" customHeight="true" outlineLevel="0" collapsed="false">
      <c r="A42" s="16" t="s">
        <v>206</v>
      </c>
      <c r="B42" s="14" t="s">
        <v>207</v>
      </c>
      <c r="C42" s="16"/>
      <c r="D42" s="31"/>
      <c r="E42" s="19" t="s">
        <v>208</v>
      </c>
      <c r="F42" s="19" t="s">
        <v>209</v>
      </c>
      <c r="G42" s="19" t="s">
        <v>210</v>
      </c>
      <c r="H42" s="16"/>
      <c r="I42" s="14"/>
      <c r="J42" s="14"/>
    </row>
    <row r="43" customFormat="false" ht="55.5" hidden="false" customHeight="true" outlineLevel="0" collapsed="false">
      <c r="A43" s="16" t="s">
        <v>211</v>
      </c>
      <c r="B43" s="14" t="s">
        <v>212</v>
      </c>
      <c r="C43" s="16"/>
      <c r="D43" s="31"/>
      <c r="E43" s="19" t="s">
        <v>213</v>
      </c>
      <c r="F43" s="19" t="s">
        <v>214</v>
      </c>
      <c r="G43" s="19" t="s">
        <v>215</v>
      </c>
      <c r="H43" s="16"/>
      <c r="I43" s="14"/>
      <c r="J43" s="14"/>
    </row>
    <row r="44" customFormat="false" ht="55.5" hidden="false" customHeight="true" outlineLevel="0" collapsed="false">
      <c r="A44" s="16" t="s">
        <v>216</v>
      </c>
      <c r="B44" s="14" t="s">
        <v>217</v>
      </c>
      <c r="C44" s="16"/>
      <c r="D44" s="31"/>
      <c r="E44" s="19" t="s">
        <v>218</v>
      </c>
      <c r="F44" s="19" t="s">
        <v>219</v>
      </c>
      <c r="G44" s="19" t="s">
        <v>220</v>
      </c>
      <c r="H44" s="16"/>
      <c r="I44" s="14"/>
      <c r="J44" s="14"/>
    </row>
    <row r="45" customFormat="false" ht="21.75" hidden="false" customHeight="true" outlineLevel="0" collapsed="false">
      <c r="A45" s="22" t="s">
        <v>221</v>
      </c>
      <c r="B45" s="22"/>
      <c r="C45" s="22"/>
      <c r="D45" s="22"/>
      <c r="E45" s="22"/>
      <c r="F45" s="22"/>
      <c r="G45" s="22"/>
      <c r="H45" s="22"/>
      <c r="I45" s="22"/>
      <c r="J45" s="22"/>
    </row>
    <row r="46" customFormat="false" ht="55.5" hidden="false" customHeight="true" outlineLevel="0" collapsed="false">
      <c r="A46" s="16" t="s">
        <v>222</v>
      </c>
      <c r="B46" s="14" t="s">
        <v>223</v>
      </c>
      <c r="C46" s="30" t="s">
        <v>79</v>
      </c>
      <c r="D46" s="31"/>
      <c r="E46" s="19" t="s">
        <v>224</v>
      </c>
      <c r="F46" s="19" t="s">
        <v>225</v>
      </c>
      <c r="G46" s="19" t="s">
        <v>226</v>
      </c>
      <c r="H46" s="16"/>
      <c r="I46" s="14"/>
      <c r="J46" s="14"/>
    </row>
    <row r="47" customFormat="false" ht="55.5" hidden="false" customHeight="true" outlineLevel="0" collapsed="false">
      <c r="A47" s="16" t="s">
        <v>227</v>
      </c>
      <c r="B47" s="14" t="s">
        <v>228</v>
      </c>
      <c r="C47" s="16"/>
      <c r="D47" s="31"/>
      <c r="E47" s="19" t="s">
        <v>229</v>
      </c>
      <c r="F47" s="19" t="s">
        <v>230</v>
      </c>
      <c r="G47" s="19" t="s">
        <v>231</v>
      </c>
      <c r="H47" s="16"/>
      <c r="I47" s="14"/>
      <c r="J47" s="14"/>
    </row>
    <row r="48" customFormat="false" ht="55.5" hidden="false" customHeight="true" outlineLevel="0" collapsed="false">
      <c r="A48" s="16" t="s">
        <v>232</v>
      </c>
      <c r="B48" s="14" t="s">
        <v>233</v>
      </c>
      <c r="C48" s="16"/>
      <c r="D48" s="31"/>
      <c r="E48" s="19" t="s">
        <v>234</v>
      </c>
      <c r="F48" s="19" t="s">
        <v>235</v>
      </c>
      <c r="G48" s="19" t="s">
        <v>236</v>
      </c>
      <c r="H48" s="16"/>
      <c r="I48" s="14"/>
      <c r="J48" s="14"/>
    </row>
    <row r="49" customFormat="false" ht="55.5" hidden="false" customHeight="true" outlineLevel="0" collapsed="false">
      <c r="A49" s="16" t="s">
        <v>237</v>
      </c>
      <c r="B49" s="14" t="s">
        <v>238</v>
      </c>
      <c r="C49" s="16"/>
      <c r="D49" s="31"/>
      <c r="E49" s="19" t="s">
        <v>239</v>
      </c>
      <c r="F49" s="19" t="s">
        <v>240</v>
      </c>
      <c r="G49" s="19" t="s">
        <v>241</v>
      </c>
      <c r="H49" s="16"/>
      <c r="I49" s="14"/>
      <c r="J49" s="14"/>
    </row>
    <row r="50" customFormat="false" ht="55.5" hidden="false" customHeight="true" outlineLevel="0" collapsed="false">
      <c r="A50" s="16" t="s">
        <v>242</v>
      </c>
      <c r="B50" s="14" t="s">
        <v>243</v>
      </c>
      <c r="C50" s="16"/>
      <c r="D50" s="31"/>
      <c r="E50" s="19" t="s">
        <v>244</v>
      </c>
      <c r="F50" s="19" t="s">
        <v>245</v>
      </c>
      <c r="G50" s="19" t="s">
        <v>246</v>
      </c>
      <c r="H50" s="16"/>
      <c r="I50" s="14"/>
      <c r="J50" s="14"/>
    </row>
    <row r="51" customFormat="false" ht="21.75" hidden="false" customHeight="true" outlineLevel="0" collapsed="false">
      <c r="A51" s="22" t="s">
        <v>247</v>
      </c>
      <c r="B51" s="22"/>
      <c r="C51" s="22"/>
      <c r="D51" s="22"/>
      <c r="E51" s="22"/>
      <c r="F51" s="22"/>
      <c r="G51" s="22"/>
      <c r="H51" s="22"/>
      <c r="I51" s="22"/>
      <c r="J51" s="22"/>
    </row>
    <row r="52" customFormat="false" ht="55.5" hidden="false" customHeight="true" outlineLevel="0" collapsed="false">
      <c r="A52" s="16" t="s">
        <v>248</v>
      </c>
      <c r="B52" s="14" t="s">
        <v>249</v>
      </c>
      <c r="C52" s="30" t="s">
        <v>79</v>
      </c>
      <c r="D52" s="31"/>
      <c r="E52" s="19" t="s">
        <v>250</v>
      </c>
      <c r="F52" s="19" t="s">
        <v>251</v>
      </c>
      <c r="G52" s="19" t="s">
        <v>252</v>
      </c>
      <c r="H52" s="16"/>
      <c r="I52" s="14"/>
      <c r="J52" s="14"/>
    </row>
    <row r="53" customFormat="false" ht="55.5" hidden="false" customHeight="true" outlineLevel="0" collapsed="false">
      <c r="A53" s="16" t="s">
        <v>253</v>
      </c>
      <c r="B53" s="14" t="s">
        <v>254</v>
      </c>
      <c r="C53" s="16"/>
      <c r="D53" s="31"/>
      <c r="E53" s="19" t="s">
        <v>255</v>
      </c>
      <c r="F53" s="19" t="s">
        <v>256</v>
      </c>
      <c r="G53" s="19" t="s">
        <v>257</v>
      </c>
      <c r="H53" s="16"/>
      <c r="I53" s="14"/>
      <c r="J53" s="14"/>
    </row>
    <row r="54" customFormat="false" ht="55.5" hidden="false" customHeight="true" outlineLevel="0" collapsed="false">
      <c r="A54" s="16" t="s">
        <v>258</v>
      </c>
      <c r="B54" s="14" t="s">
        <v>259</v>
      </c>
      <c r="C54" s="16"/>
      <c r="D54" s="31"/>
      <c r="E54" s="19" t="s">
        <v>260</v>
      </c>
      <c r="F54" s="19" t="s">
        <v>261</v>
      </c>
      <c r="G54" s="19" t="s">
        <v>262</v>
      </c>
      <c r="H54" s="16"/>
      <c r="I54" s="14"/>
      <c r="J54" s="14"/>
    </row>
    <row r="55" customFormat="false" ht="55.5" hidden="false" customHeight="true" outlineLevel="0" collapsed="false">
      <c r="A55" s="16" t="s">
        <v>263</v>
      </c>
      <c r="B55" s="14" t="s">
        <v>264</v>
      </c>
      <c r="C55" s="16"/>
      <c r="D55" s="31"/>
      <c r="E55" s="19" t="s">
        <v>265</v>
      </c>
      <c r="F55" s="19" t="s">
        <v>266</v>
      </c>
      <c r="G55" s="19" t="s">
        <v>267</v>
      </c>
      <c r="H55" s="16"/>
      <c r="I55" s="14"/>
      <c r="J55" s="14"/>
    </row>
    <row r="56" customFormat="false" ht="55.5" hidden="false" customHeight="true" outlineLevel="0" collapsed="false">
      <c r="A56" s="16" t="s">
        <v>268</v>
      </c>
      <c r="B56" s="14" t="s">
        <v>269</v>
      </c>
      <c r="C56" s="30" t="s">
        <v>79</v>
      </c>
      <c r="D56" s="31"/>
      <c r="E56" s="19" t="s">
        <v>270</v>
      </c>
      <c r="F56" s="19" t="s">
        <v>271</v>
      </c>
      <c r="G56" s="19" t="s">
        <v>272</v>
      </c>
      <c r="H56" s="16"/>
      <c r="I56" s="14"/>
      <c r="J56" s="14"/>
    </row>
  </sheetData>
  <mergeCells count="30">
    <mergeCell ref="A1:J1"/>
    <mergeCell ref="B3:D3"/>
    <mergeCell ref="F3:G3"/>
    <mergeCell ref="H3:J3"/>
    <mergeCell ref="B4:D4"/>
    <mergeCell ref="F4:G4"/>
    <mergeCell ref="H4:J4"/>
    <mergeCell ref="B5:D5"/>
    <mergeCell ref="F5:J5"/>
    <mergeCell ref="B6:D6"/>
    <mergeCell ref="F6:H6"/>
    <mergeCell ref="B7:D7"/>
    <mergeCell ref="F7:H7"/>
    <mergeCell ref="B8:D8"/>
    <mergeCell ref="F8:H8"/>
    <mergeCell ref="B9:D9"/>
    <mergeCell ref="F9:H9"/>
    <mergeCell ref="B10:D10"/>
    <mergeCell ref="F10:H10"/>
    <mergeCell ref="B11:D11"/>
    <mergeCell ref="F11:H11"/>
    <mergeCell ref="B12:D12"/>
    <mergeCell ref="F12:H12"/>
    <mergeCell ref="A15:J15"/>
    <mergeCell ref="A21:J21"/>
    <mergeCell ref="A27:J27"/>
    <mergeCell ref="A33:J33"/>
    <mergeCell ref="A39:J39"/>
    <mergeCell ref="A45:J45"/>
    <mergeCell ref="A51:J51"/>
  </mergeCells>
  <conditionalFormatting sqref="J6:J12">
    <cfRule type="cellIs" priority="2" operator="equal" aboveAverage="0" equalAverage="0" bottom="0" percent="0" rank="0" text="" dxfId="3">
      <formula>"GREEN"</formula>
    </cfRule>
    <cfRule type="cellIs" priority="3" operator="equal" aboveAverage="0" equalAverage="0" bottom="0" percent="0" rank="0" text="" dxfId="4">
      <formula>"AMBER"</formula>
    </cfRule>
    <cfRule type="cellIs" priority="4" operator="equal" aboveAverage="0" equalAverage="0" bottom="0" percent="0" rank="0" text="" dxfId="5">
      <formula>"RED"</formula>
    </cfRule>
  </conditionalFormatting>
  <conditionalFormatting sqref="H3">
    <cfRule type="cellIs" priority="5" operator="equal" aboveAverage="0" equalAverage="0" bottom="0" percent="0" rank="0" text="" dxfId="3">
      <formula>"GREEN"</formula>
    </cfRule>
    <cfRule type="cellIs" priority="6" operator="equal" aboveAverage="0" equalAverage="0" bottom="0" percent="0" rank="0" text="" dxfId="4">
      <formula>"AMBER"</formula>
    </cfRule>
    <cfRule type="cellIs" priority="7" operator="equal" aboveAverage="0" equalAverage="0" bottom="0" percent="0" rank="0" text="" dxfId="5">
      <formula>"RED"</formula>
    </cfRule>
  </conditionalFormatting>
  <conditionalFormatting sqref="D15:D56">
    <cfRule type="cellIs" priority="8" operator="lessThanOrEqual" aboveAverage="0" equalAverage="0" bottom="0" percent="0" rank="0" text="" dxfId="5">
      <formula>2</formula>
    </cfRule>
    <cfRule type="cellIs" priority="9" operator="equal" aboveAverage="0" equalAverage="0" bottom="0" percent="0" rank="0" text="" dxfId="4">
      <formula>3</formula>
    </cfRule>
    <cfRule type="cellIs" priority="10" operator="greaterThanOrEqual" aboveAverage="0" equalAverage="0" bottom="0" percent="0" rank="0" text="" dxfId="3">
      <formula>4</formula>
    </cfRule>
  </conditionalFormatting>
  <conditionalFormatting sqref="H15:H56">
    <cfRule type="cellIs" priority="11" operator="equal" aboveAverage="0" equalAverage="0" bottom="0" percent="0" rank="0" text="" dxfId="5">
      <formula>"Absent"</formula>
    </cfRule>
    <cfRule type="cellIs" priority="12" operator="equal" aboveAverage="0" equalAverage="0" bottom="0" percent="0" rank="0" text="" dxfId="4">
      <formula>"Partial"</formula>
    </cfRule>
    <cfRule type="cellIs" priority="13" operator="equal" aboveAverage="0" equalAverage="0" bottom="0" percent="0" rank="0" text="" dxfId="3">
      <formula>"Present"</formula>
    </cfRule>
  </conditionalFormatting>
  <dataValidations count="5">
    <dataValidation allowBlank="true" error="Pick a value from the drop-down: 1–5 or N/A." errorStyle="stop" errorTitle="Invalid score" operator="between" showDropDown="false" showErrorMessage="true" showInputMessage="false" sqref="D15:D56" type="list">
      <formula1>ScoreList</formula1>
      <formula2>0</formula2>
    </dataValidation>
    <dataValidation allowBlank="true" error="Pick Present, Partial, or Absent." errorStyle="stop" errorTitle="Invalid status" operator="between" showDropDown="false" showErrorMessage="true" showInputMessage="false" sqref="H15:H56" type="list">
      <formula1>EvidenceList</formula1>
      <formula2>0</formula2>
    </dataValidation>
    <dataValidation allowBlank="true" errorStyle="stop" operator="between" showDropDown="false" showErrorMessage="false" showInputMessage="false" sqref="B8" type="list">
      <formula1>ModeList</formula1>
      <formula2>0</formula2>
    </dataValidation>
    <dataValidation allowBlank="true" errorStyle="stop" operator="between" showDropDown="false" showErrorMessage="false" showInputMessage="false" sqref="B9" type="list">
      <formula1>DepClassList</formula1>
      <formula2>0</formula2>
    </dataValidation>
    <dataValidation allowBlank="true" errorStyle="stop" operator="between" showDropDown="false" showErrorMessage="false" showInputMessage="false" sqref="B10" type="list">
      <formula1>TrajectoryList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6"/>
    <col collapsed="false" customWidth="true" hidden="false" outlineLevel="0" max="6" min="4" style="0" width="38"/>
    <col collapsed="false" customWidth="true" hidden="false" outlineLevel="0" max="7" min="7" style="0" width="50"/>
  </cols>
  <sheetData>
    <row r="1" customFormat="false" ht="27.75" hidden="false" customHeight="true" outlineLevel="0" collapsed="false">
      <c r="A1" s="1" t="s">
        <v>277</v>
      </c>
      <c r="B1" s="1"/>
      <c r="C1" s="1"/>
      <c r="D1" s="1"/>
      <c r="E1" s="1"/>
      <c r="F1" s="1"/>
      <c r="G1" s="1"/>
    </row>
    <row r="2" customFormat="false" ht="6" hidden="false" customHeight="true" outlineLevel="0" collapsed="false"/>
    <row r="3" customFormat="false" ht="30" hidden="false" customHeight="true" outlineLevel="0" collapsed="false">
      <c r="A3" s="12" t="s">
        <v>77</v>
      </c>
      <c r="B3" s="12" t="s">
        <v>278</v>
      </c>
      <c r="C3" s="12" t="s">
        <v>279</v>
      </c>
      <c r="D3" s="12" t="s">
        <v>280</v>
      </c>
      <c r="E3" s="12" t="s">
        <v>281</v>
      </c>
      <c r="F3" s="12" t="s">
        <v>282</v>
      </c>
      <c r="G3" s="12" t="s">
        <v>283</v>
      </c>
    </row>
    <row r="4" customFormat="false" ht="63.75" hidden="false" customHeight="true" outlineLevel="0" collapsed="false">
      <c r="A4" s="16" t="s">
        <v>92</v>
      </c>
      <c r="B4" s="14" t="s">
        <v>65</v>
      </c>
      <c r="C4" s="30" t="s">
        <v>79</v>
      </c>
      <c r="D4" s="14" t="s">
        <v>94</v>
      </c>
      <c r="E4" s="14" t="s">
        <v>95</v>
      </c>
      <c r="F4" s="14" t="s">
        <v>96</v>
      </c>
      <c r="G4" s="14" t="s">
        <v>284</v>
      </c>
    </row>
    <row r="5" customFormat="false" ht="63.75" hidden="false" customHeight="true" outlineLevel="0" collapsed="false">
      <c r="A5" s="18" t="s">
        <v>97</v>
      </c>
      <c r="B5" s="19" t="s">
        <v>65</v>
      </c>
      <c r="C5" s="18"/>
      <c r="D5" s="19" t="s">
        <v>99</v>
      </c>
      <c r="E5" s="19" t="s">
        <v>100</v>
      </c>
      <c r="F5" s="19" t="s">
        <v>101</v>
      </c>
      <c r="G5" s="19" t="s">
        <v>285</v>
      </c>
    </row>
    <row r="6" customFormat="false" ht="63.75" hidden="false" customHeight="true" outlineLevel="0" collapsed="false">
      <c r="A6" s="16" t="s">
        <v>102</v>
      </c>
      <c r="B6" s="14" t="s">
        <v>65</v>
      </c>
      <c r="C6" s="16"/>
      <c r="D6" s="14" t="s">
        <v>104</v>
      </c>
      <c r="E6" s="14" t="s">
        <v>105</v>
      </c>
      <c r="F6" s="14" t="s">
        <v>106</v>
      </c>
      <c r="G6" s="14" t="s">
        <v>286</v>
      </c>
    </row>
    <row r="7" customFormat="false" ht="63.75" hidden="false" customHeight="true" outlineLevel="0" collapsed="false">
      <c r="A7" s="18" t="s">
        <v>107</v>
      </c>
      <c r="B7" s="19" t="s">
        <v>65</v>
      </c>
      <c r="C7" s="18"/>
      <c r="D7" s="19" t="s">
        <v>109</v>
      </c>
      <c r="E7" s="19" t="s">
        <v>110</v>
      </c>
      <c r="F7" s="19" t="s">
        <v>111</v>
      </c>
      <c r="G7" s="19" t="s">
        <v>287</v>
      </c>
    </row>
    <row r="8" customFormat="false" ht="63.75" hidden="false" customHeight="true" outlineLevel="0" collapsed="false">
      <c r="A8" s="16" t="s">
        <v>112</v>
      </c>
      <c r="B8" s="14" t="s">
        <v>65</v>
      </c>
      <c r="C8" s="16"/>
      <c r="D8" s="14" t="s">
        <v>114</v>
      </c>
      <c r="E8" s="14" t="s">
        <v>115</v>
      </c>
      <c r="F8" s="14" t="s">
        <v>116</v>
      </c>
      <c r="G8" s="14" t="s">
        <v>288</v>
      </c>
    </row>
    <row r="9" customFormat="false" ht="63.75" hidden="false" customHeight="true" outlineLevel="0" collapsed="false">
      <c r="A9" s="18" t="s">
        <v>118</v>
      </c>
      <c r="B9" s="19" t="s">
        <v>67</v>
      </c>
      <c r="C9" s="18"/>
      <c r="D9" s="19" t="s">
        <v>120</v>
      </c>
      <c r="E9" s="19" t="s">
        <v>121</v>
      </c>
      <c r="F9" s="19" t="s">
        <v>122</v>
      </c>
      <c r="G9" s="19" t="s">
        <v>289</v>
      </c>
    </row>
    <row r="10" customFormat="false" ht="63.75" hidden="false" customHeight="true" outlineLevel="0" collapsed="false">
      <c r="A10" s="16" t="s">
        <v>123</v>
      </c>
      <c r="B10" s="14" t="s">
        <v>67</v>
      </c>
      <c r="C10" s="30" t="s">
        <v>79</v>
      </c>
      <c r="D10" s="14" t="s">
        <v>125</v>
      </c>
      <c r="E10" s="14" t="s">
        <v>126</v>
      </c>
      <c r="F10" s="14" t="s">
        <v>127</v>
      </c>
      <c r="G10" s="14" t="s">
        <v>290</v>
      </c>
    </row>
    <row r="11" customFormat="false" ht="63.75" hidden="false" customHeight="true" outlineLevel="0" collapsed="false">
      <c r="A11" s="18" t="s">
        <v>128</v>
      </c>
      <c r="B11" s="19" t="s">
        <v>67</v>
      </c>
      <c r="C11" s="18"/>
      <c r="D11" s="19" t="s">
        <v>130</v>
      </c>
      <c r="E11" s="19" t="s">
        <v>131</v>
      </c>
      <c r="F11" s="19" t="s">
        <v>132</v>
      </c>
      <c r="G11" s="19" t="s">
        <v>291</v>
      </c>
    </row>
    <row r="12" customFormat="false" ht="63.75" hidden="false" customHeight="true" outlineLevel="0" collapsed="false">
      <c r="A12" s="16" t="s">
        <v>133</v>
      </c>
      <c r="B12" s="14" t="s">
        <v>67</v>
      </c>
      <c r="C12" s="16"/>
      <c r="D12" s="14" t="s">
        <v>135</v>
      </c>
      <c r="E12" s="14" t="s">
        <v>136</v>
      </c>
      <c r="F12" s="14" t="s">
        <v>137</v>
      </c>
      <c r="G12" s="14" t="s">
        <v>292</v>
      </c>
    </row>
    <row r="13" customFormat="false" ht="63.75" hidden="false" customHeight="true" outlineLevel="0" collapsed="false">
      <c r="A13" s="18" t="s">
        <v>138</v>
      </c>
      <c r="B13" s="19" t="s">
        <v>67</v>
      </c>
      <c r="C13" s="18"/>
      <c r="D13" s="19" t="s">
        <v>140</v>
      </c>
      <c r="E13" s="19" t="s">
        <v>141</v>
      </c>
      <c r="F13" s="19" t="s">
        <v>142</v>
      </c>
      <c r="G13" s="19" t="s">
        <v>293</v>
      </c>
    </row>
    <row r="14" customFormat="false" ht="63.75" hidden="false" customHeight="true" outlineLevel="0" collapsed="false">
      <c r="A14" s="16" t="s">
        <v>144</v>
      </c>
      <c r="B14" s="14" t="s">
        <v>68</v>
      </c>
      <c r="C14" s="16"/>
      <c r="D14" s="14" t="s">
        <v>146</v>
      </c>
      <c r="E14" s="14" t="s">
        <v>147</v>
      </c>
      <c r="F14" s="14" t="s">
        <v>148</v>
      </c>
      <c r="G14" s="14" t="s">
        <v>294</v>
      </c>
    </row>
    <row r="15" customFormat="false" ht="63.75" hidden="false" customHeight="true" outlineLevel="0" collapsed="false">
      <c r="A15" s="18" t="s">
        <v>149</v>
      </c>
      <c r="B15" s="19" t="s">
        <v>68</v>
      </c>
      <c r="C15" s="18"/>
      <c r="D15" s="19" t="s">
        <v>151</v>
      </c>
      <c r="E15" s="19" t="s">
        <v>152</v>
      </c>
      <c r="F15" s="19" t="s">
        <v>153</v>
      </c>
      <c r="G15" s="19" t="s">
        <v>295</v>
      </c>
    </row>
    <row r="16" customFormat="false" ht="63.75" hidden="false" customHeight="true" outlineLevel="0" collapsed="false">
      <c r="A16" s="16" t="s">
        <v>154</v>
      </c>
      <c r="B16" s="14" t="s">
        <v>68</v>
      </c>
      <c r="C16" s="30" t="s">
        <v>79</v>
      </c>
      <c r="D16" s="14" t="s">
        <v>156</v>
      </c>
      <c r="E16" s="14" t="s">
        <v>157</v>
      </c>
      <c r="F16" s="14" t="s">
        <v>158</v>
      </c>
      <c r="G16" s="14" t="s">
        <v>296</v>
      </c>
    </row>
    <row r="17" customFormat="false" ht="63.75" hidden="false" customHeight="true" outlineLevel="0" collapsed="false">
      <c r="A17" s="18" t="s">
        <v>159</v>
      </c>
      <c r="B17" s="19" t="s">
        <v>68</v>
      </c>
      <c r="C17" s="18"/>
      <c r="D17" s="19" t="s">
        <v>161</v>
      </c>
      <c r="E17" s="19" t="s">
        <v>162</v>
      </c>
      <c r="F17" s="19" t="s">
        <v>163</v>
      </c>
      <c r="G17" s="19" t="s">
        <v>297</v>
      </c>
    </row>
    <row r="18" customFormat="false" ht="63.75" hidden="false" customHeight="true" outlineLevel="0" collapsed="false">
      <c r="A18" s="16" t="s">
        <v>164</v>
      </c>
      <c r="B18" s="14" t="s">
        <v>68</v>
      </c>
      <c r="C18" s="16"/>
      <c r="D18" s="14" t="s">
        <v>166</v>
      </c>
      <c r="E18" s="14" t="s">
        <v>167</v>
      </c>
      <c r="F18" s="14" t="s">
        <v>168</v>
      </c>
      <c r="G18" s="14" t="s">
        <v>298</v>
      </c>
    </row>
    <row r="19" customFormat="false" ht="63.75" hidden="false" customHeight="true" outlineLevel="0" collapsed="false">
      <c r="A19" s="18" t="s">
        <v>170</v>
      </c>
      <c r="B19" s="19" t="s">
        <v>70</v>
      </c>
      <c r="C19" s="30" t="s">
        <v>79</v>
      </c>
      <c r="D19" s="19" t="s">
        <v>172</v>
      </c>
      <c r="E19" s="19" t="s">
        <v>173</v>
      </c>
      <c r="F19" s="19" t="s">
        <v>174</v>
      </c>
      <c r="G19" s="19" t="s">
        <v>299</v>
      </c>
    </row>
    <row r="20" customFormat="false" ht="63.75" hidden="false" customHeight="true" outlineLevel="0" collapsed="false">
      <c r="A20" s="16" t="s">
        <v>175</v>
      </c>
      <c r="B20" s="14" t="s">
        <v>70</v>
      </c>
      <c r="C20" s="16"/>
      <c r="D20" s="14" t="s">
        <v>177</v>
      </c>
      <c r="E20" s="14" t="s">
        <v>178</v>
      </c>
      <c r="F20" s="14" t="s">
        <v>179</v>
      </c>
      <c r="G20" s="14" t="s">
        <v>300</v>
      </c>
    </row>
    <row r="21" customFormat="false" ht="63.75" hidden="false" customHeight="true" outlineLevel="0" collapsed="false">
      <c r="A21" s="18" t="s">
        <v>180</v>
      </c>
      <c r="B21" s="19" t="s">
        <v>70</v>
      </c>
      <c r="C21" s="18"/>
      <c r="D21" s="19" t="s">
        <v>182</v>
      </c>
      <c r="E21" s="19" t="s">
        <v>183</v>
      </c>
      <c r="F21" s="19" t="s">
        <v>184</v>
      </c>
      <c r="G21" s="19" t="s">
        <v>301</v>
      </c>
    </row>
    <row r="22" customFormat="false" ht="63.75" hidden="false" customHeight="true" outlineLevel="0" collapsed="false">
      <c r="A22" s="16" t="s">
        <v>185</v>
      </c>
      <c r="B22" s="14" t="s">
        <v>70</v>
      </c>
      <c r="C22" s="16"/>
      <c r="D22" s="14" t="s">
        <v>187</v>
      </c>
      <c r="E22" s="14" t="s">
        <v>188</v>
      </c>
      <c r="F22" s="14" t="s">
        <v>189</v>
      </c>
      <c r="G22" s="14" t="s">
        <v>302</v>
      </c>
    </row>
    <row r="23" customFormat="false" ht="63.75" hidden="false" customHeight="true" outlineLevel="0" collapsed="false">
      <c r="A23" s="18" t="s">
        <v>190</v>
      </c>
      <c r="B23" s="19" t="s">
        <v>70</v>
      </c>
      <c r="C23" s="18"/>
      <c r="D23" s="19" t="s">
        <v>192</v>
      </c>
      <c r="E23" s="19" t="s">
        <v>193</v>
      </c>
      <c r="F23" s="19" t="s">
        <v>194</v>
      </c>
      <c r="G23" s="19" t="s">
        <v>303</v>
      </c>
    </row>
    <row r="24" customFormat="false" ht="63.75" hidden="false" customHeight="true" outlineLevel="0" collapsed="false">
      <c r="A24" s="16" t="s">
        <v>196</v>
      </c>
      <c r="B24" s="14" t="s">
        <v>72</v>
      </c>
      <c r="C24" s="30" t="s">
        <v>79</v>
      </c>
      <c r="D24" s="14" t="s">
        <v>198</v>
      </c>
      <c r="E24" s="14" t="s">
        <v>199</v>
      </c>
      <c r="F24" s="14" t="s">
        <v>200</v>
      </c>
      <c r="G24" s="14" t="s">
        <v>304</v>
      </c>
    </row>
    <row r="25" customFormat="false" ht="63.75" hidden="false" customHeight="true" outlineLevel="0" collapsed="false">
      <c r="A25" s="18" t="s">
        <v>201</v>
      </c>
      <c r="B25" s="19" t="s">
        <v>72</v>
      </c>
      <c r="C25" s="18"/>
      <c r="D25" s="19" t="s">
        <v>203</v>
      </c>
      <c r="E25" s="19" t="s">
        <v>204</v>
      </c>
      <c r="F25" s="19" t="s">
        <v>205</v>
      </c>
      <c r="G25" s="19" t="s">
        <v>305</v>
      </c>
    </row>
    <row r="26" customFormat="false" ht="63.75" hidden="false" customHeight="true" outlineLevel="0" collapsed="false">
      <c r="A26" s="16" t="s">
        <v>206</v>
      </c>
      <c r="B26" s="14" t="s">
        <v>72</v>
      </c>
      <c r="C26" s="16"/>
      <c r="D26" s="14" t="s">
        <v>208</v>
      </c>
      <c r="E26" s="14" t="s">
        <v>209</v>
      </c>
      <c r="F26" s="14" t="s">
        <v>210</v>
      </c>
      <c r="G26" s="14" t="s">
        <v>306</v>
      </c>
    </row>
    <row r="27" customFormat="false" ht="63.75" hidden="false" customHeight="true" outlineLevel="0" collapsed="false">
      <c r="A27" s="18" t="s">
        <v>211</v>
      </c>
      <c r="B27" s="19" t="s">
        <v>72</v>
      </c>
      <c r="C27" s="18"/>
      <c r="D27" s="19" t="s">
        <v>213</v>
      </c>
      <c r="E27" s="19" t="s">
        <v>214</v>
      </c>
      <c r="F27" s="19" t="s">
        <v>215</v>
      </c>
      <c r="G27" s="19" t="s">
        <v>307</v>
      </c>
    </row>
    <row r="28" customFormat="false" ht="63.75" hidden="false" customHeight="true" outlineLevel="0" collapsed="false">
      <c r="A28" s="16" t="s">
        <v>216</v>
      </c>
      <c r="B28" s="14" t="s">
        <v>72</v>
      </c>
      <c r="C28" s="16"/>
      <c r="D28" s="14" t="s">
        <v>218</v>
      </c>
      <c r="E28" s="14" t="s">
        <v>219</v>
      </c>
      <c r="F28" s="14" t="s">
        <v>220</v>
      </c>
      <c r="G28" s="14" t="s">
        <v>308</v>
      </c>
    </row>
    <row r="29" customFormat="false" ht="63.75" hidden="false" customHeight="true" outlineLevel="0" collapsed="false">
      <c r="A29" s="18" t="s">
        <v>222</v>
      </c>
      <c r="B29" s="19" t="s">
        <v>74</v>
      </c>
      <c r="C29" s="30" t="s">
        <v>79</v>
      </c>
      <c r="D29" s="19" t="s">
        <v>224</v>
      </c>
      <c r="E29" s="19" t="s">
        <v>225</v>
      </c>
      <c r="F29" s="19" t="s">
        <v>226</v>
      </c>
      <c r="G29" s="19" t="s">
        <v>309</v>
      </c>
    </row>
    <row r="30" customFormat="false" ht="63.75" hidden="false" customHeight="true" outlineLevel="0" collapsed="false">
      <c r="A30" s="16" t="s">
        <v>227</v>
      </c>
      <c r="B30" s="14" t="s">
        <v>74</v>
      </c>
      <c r="C30" s="16"/>
      <c r="D30" s="14" t="s">
        <v>229</v>
      </c>
      <c r="E30" s="14" t="s">
        <v>230</v>
      </c>
      <c r="F30" s="14" t="s">
        <v>231</v>
      </c>
      <c r="G30" s="14" t="s">
        <v>310</v>
      </c>
    </row>
    <row r="31" customFormat="false" ht="63.75" hidden="false" customHeight="true" outlineLevel="0" collapsed="false">
      <c r="A31" s="18" t="s">
        <v>232</v>
      </c>
      <c r="B31" s="19" t="s">
        <v>74</v>
      </c>
      <c r="C31" s="18"/>
      <c r="D31" s="19" t="s">
        <v>234</v>
      </c>
      <c r="E31" s="19" t="s">
        <v>235</v>
      </c>
      <c r="F31" s="19" t="s">
        <v>236</v>
      </c>
      <c r="G31" s="19" t="s">
        <v>311</v>
      </c>
    </row>
    <row r="32" customFormat="false" ht="63.75" hidden="false" customHeight="true" outlineLevel="0" collapsed="false">
      <c r="A32" s="16" t="s">
        <v>237</v>
      </c>
      <c r="B32" s="14" t="s">
        <v>74</v>
      </c>
      <c r="C32" s="16"/>
      <c r="D32" s="14" t="s">
        <v>239</v>
      </c>
      <c r="E32" s="14" t="s">
        <v>240</v>
      </c>
      <c r="F32" s="14" t="s">
        <v>241</v>
      </c>
      <c r="G32" s="14" t="s">
        <v>312</v>
      </c>
    </row>
    <row r="33" customFormat="false" ht="63.75" hidden="false" customHeight="true" outlineLevel="0" collapsed="false">
      <c r="A33" s="18" t="s">
        <v>242</v>
      </c>
      <c r="B33" s="19" t="s">
        <v>74</v>
      </c>
      <c r="C33" s="18"/>
      <c r="D33" s="19" t="s">
        <v>244</v>
      </c>
      <c r="E33" s="19" t="s">
        <v>245</v>
      </c>
      <c r="F33" s="19" t="s">
        <v>246</v>
      </c>
      <c r="G33" s="19" t="s">
        <v>313</v>
      </c>
    </row>
    <row r="34" customFormat="false" ht="63.75" hidden="false" customHeight="true" outlineLevel="0" collapsed="false">
      <c r="A34" s="16" t="s">
        <v>248</v>
      </c>
      <c r="B34" s="14" t="s">
        <v>76</v>
      </c>
      <c r="C34" s="30" t="s">
        <v>79</v>
      </c>
      <c r="D34" s="14" t="s">
        <v>250</v>
      </c>
      <c r="E34" s="14" t="s">
        <v>251</v>
      </c>
      <c r="F34" s="14" t="s">
        <v>252</v>
      </c>
      <c r="G34" s="14" t="s">
        <v>314</v>
      </c>
    </row>
    <row r="35" customFormat="false" ht="63.75" hidden="false" customHeight="true" outlineLevel="0" collapsed="false">
      <c r="A35" s="18" t="s">
        <v>253</v>
      </c>
      <c r="B35" s="19" t="s">
        <v>76</v>
      </c>
      <c r="C35" s="18"/>
      <c r="D35" s="19" t="s">
        <v>255</v>
      </c>
      <c r="E35" s="19" t="s">
        <v>256</v>
      </c>
      <c r="F35" s="19" t="s">
        <v>257</v>
      </c>
      <c r="G35" s="19" t="s">
        <v>315</v>
      </c>
    </row>
    <row r="36" customFormat="false" ht="63.75" hidden="false" customHeight="true" outlineLevel="0" collapsed="false">
      <c r="A36" s="16" t="s">
        <v>258</v>
      </c>
      <c r="B36" s="14" t="s">
        <v>76</v>
      </c>
      <c r="C36" s="16"/>
      <c r="D36" s="14" t="s">
        <v>260</v>
      </c>
      <c r="E36" s="14" t="s">
        <v>261</v>
      </c>
      <c r="F36" s="14" t="s">
        <v>262</v>
      </c>
      <c r="G36" s="14" t="s">
        <v>316</v>
      </c>
    </row>
    <row r="37" customFormat="false" ht="63.75" hidden="false" customHeight="true" outlineLevel="0" collapsed="false">
      <c r="A37" s="18" t="s">
        <v>263</v>
      </c>
      <c r="B37" s="19" t="s">
        <v>76</v>
      </c>
      <c r="C37" s="18"/>
      <c r="D37" s="19" t="s">
        <v>265</v>
      </c>
      <c r="E37" s="19" t="s">
        <v>266</v>
      </c>
      <c r="F37" s="19" t="s">
        <v>267</v>
      </c>
      <c r="G37" s="19" t="s">
        <v>317</v>
      </c>
    </row>
    <row r="38" customFormat="false" ht="63.75" hidden="false" customHeight="true" outlineLevel="0" collapsed="false">
      <c r="A38" s="16" t="s">
        <v>268</v>
      </c>
      <c r="B38" s="14" t="s">
        <v>76</v>
      </c>
      <c r="C38" s="30" t="s">
        <v>79</v>
      </c>
      <c r="D38" s="14" t="s">
        <v>270</v>
      </c>
      <c r="E38" s="14" t="s">
        <v>271</v>
      </c>
      <c r="F38" s="14" t="s">
        <v>272</v>
      </c>
      <c r="G38" s="14" t="s">
        <v>318</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319</v>
      </c>
      <c r="B1" s="0" t="s">
        <v>320</v>
      </c>
      <c r="C1" s="0" t="s">
        <v>321</v>
      </c>
      <c r="D1" s="0" t="s">
        <v>322</v>
      </c>
      <c r="E1" s="0" t="s">
        <v>35</v>
      </c>
    </row>
    <row r="2" customFormat="false" ht="15" hidden="false" customHeight="false" outlineLevel="0" collapsed="false">
      <c r="A2" s="0" t="n">
        <v>1</v>
      </c>
      <c r="B2" s="0" t="s">
        <v>323</v>
      </c>
      <c r="C2" s="0" t="s">
        <v>324</v>
      </c>
      <c r="D2" s="0" t="s">
        <v>325</v>
      </c>
      <c r="E2" s="0" t="s">
        <v>326</v>
      </c>
    </row>
    <row r="3" customFormat="false" ht="15" hidden="false" customHeight="false" outlineLevel="0" collapsed="false">
      <c r="A3" s="0" t="n">
        <v>2</v>
      </c>
      <c r="B3" s="0" t="s">
        <v>327</v>
      </c>
      <c r="C3" s="0" t="s">
        <v>328</v>
      </c>
      <c r="D3" s="0" t="s">
        <v>329</v>
      </c>
      <c r="E3" s="0" t="s">
        <v>330</v>
      </c>
    </row>
    <row r="4" customFormat="false" ht="15" hidden="false" customHeight="false" outlineLevel="0" collapsed="false">
      <c r="A4" s="0" t="n">
        <v>3</v>
      </c>
      <c r="B4" s="0" t="s">
        <v>331</v>
      </c>
      <c r="C4" s="0" t="s">
        <v>332</v>
      </c>
      <c r="D4" s="0" t="s">
        <v>333</v>
      </c>
    </row>
    <row r="5" customFormat="false" ht="15" hidden="false" customHeight="false" outlineLevel="0" collapsed="false">
      <c r="A5" s="0" t="n">
        <v>4</v>
      </c>
      <c r="D5" s="0" t="s">
        <v>334</v>
      </c>
    </row>
    <row r="6" customFormat="false" ht="15" hidden="false" customHeight="false" outlineLevel="0" collapsed="false">
      <c r="A6" s="0" t="n">
        <v>5</v>
      </c>
      <c r="D6" s="0" t="s">
        <v>335</v>
      </c>
    </row>
    <row r="7" customFormat="false" ht="15" hidden="false" customHeight="false" outlineLevel="0" collapsed="false">
      <c r="A7" s="0"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2026-05-15T05:45:47Z</dcterms:created>
  <dc:creator>openpyxl</dc:creator>
  <dc:description/>
  <dc:language>en-US</dc:language>
  <cp:lastModifiedBy/>
  <dcterms:modified xsi:type="dcterms:W3CDTF">2026-05-15T05:45:48Z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